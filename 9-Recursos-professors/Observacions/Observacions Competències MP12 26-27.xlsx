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l_de_control" sheetId="1" state="visible" r:id="rId3"/>
    <sheet name="SMIX2AT" sheetId="2" state="visible" r:id="rId4"/>
    <sheet name="Alumnes_A" sheetId="3" state="visible" r:id="rId5"/>
    <sheet name="SMIX2BT" sheetId="4" state="visible" r:id="rId6"/>
    <sheet name="Alumnes_B" sheetId="5" state="visible" r:id="rId7"/>
    <sheet name="SMIX2CT" sheetId="6" state="visible" r:id="rId8"/>
    <sheet name="Alumnes_C" sheetId="7" state="visible" r:id="rId9"/>
    <sheet name="SMIX2DT" sheetId="8" state="visible" r:id="rId10"/>
    <sheet name="Alumnes_D" sheetId="9" state="visible" r:id="rId11"/>
    <sheet name="Calendari" sheetId="10" state="visible" r:id="rId12"/>
    <sheet name="Rúbriqu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2" authorId="0">
      <text>
        <r>
          <rPr>
            <sz val="10"/>
            <rFont val="Arial"/>
            <family val="2"/>
          </rPr>
          <t xml:space="preserve">Quantes observacions porta l'alumne
COUNT.IF
</t>
        </r>
      </text>
    </comment>
    <comment ref="E2" authorId="0">
      <text>
        <r>
          <rPr>
            <sz val="10"/>
            <rFont val="Arial"/>
            <family val="2"/>
          </rPr>
          <t xml:space="preserve">Suma a les observacions de l'alumne
SUM.IF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2" authorId="0">
      <text>
        <r>
          <rPr>
            <sz val="10"/>
            <rFont val="Arial"/>
            <family val="2"/>
          </rPr>
          <t xml:space="preserve">Quantes observacions porta l'alumne
COUNT.IF
</t>
        </r>
      </text>
    </comment>
    <comment ref="E2" authorId="0">
      <text>
        <r>
          <rPr>
            <sz val="10"/>
            <rFont val="Arial"/>
            <family val="2"/>
          </rPr>
          <t xml:space="preserve">Suma a les observacions de l'alumne
SUM.IF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2" authorId="0">
      <text>
        <r>
          <rPr>
            <sz val="10"/>
            <rFont val="Arial"/>
            <family val="2"/>
          </rPr>
          <t xml:space="preserve">Quantes observacions porta l'alumne
COUNT.IF
</t>
        </r>
      </text>
    </comment>
    <comment ref="E2" authorId="0">
      <text>
        <r>
          <rPr>
            <sz val="10"/>
            <rFont val="Arial"/>
            <family val="2"/>
          </rPr>
          <t xml:space="preserve">Suma a les observacions de l'alumne
SUM.IF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D2" authorId="0">
      <text>
        <r>
          <rPr>
            <sz val="10"/>
            <rFont val="Arial"/>
            <family val="2"/>
          </rPr>
          <t xml:space="preserve">Quantes observacions porta l'alumne
COUNT.IF
</t>
        </r>
      </text>
    </comment>
    <comment ref="E2" authorId="0">
      <text>
        <r>
          <rPr>
            <sz val="10"/>
            <rFont val="Arial"/>
            <family val="2"/>
          </rPr>
          <t xml:space="preserve">Suma a les observacions de l'alumne
SUM.IF
</t>
        </r>
      </text>
    </comment>
  </commentList>
</comments>
</file>

<file path=xl/sharedStrings.xml><?xml version="1.0" encoding="utf-8"?>
<sst xmlns="http://schemas.openxmlformats.org/spreadsheetml/2006/main" count="725" uniqueCount="316">
  <si>
    <t xml:space="preserve">PANELL DE CONTROL · OBSERVACIONS MP12  2026-27</t>
  </si>
  <si>
    <t xml:space="preserve">Setmanes des de l'inici del mòdul:</t>
  </si>
  <si>
    <t xml:space="preserve">RESUM PER GRUP</t>
  </si>
  <si>
    <t xml:space="preserve">Grup</t>
  </si>
  <si>
    <t xml:space="preserve">Observacions totals</t>
  </si>
  <si>
    <t xml:space="preserve">Obs. / setmana</t>
  </si>
  <si>
    <t xml:space="preserve">Alumnes registrats</t>
  </si>
  <si>
    <t xml:space="preserve">Alumnes sense obs.</t>
  </si>
  <si>
    <t xml:space="preserve">% amb saldo positiu</t>
  </si>
  <si>
    <t xml:space="preserve">% amb saldo negatiu</t>
  </si>
  <si>
    <t xml:space="preserve">Alumnes total</t>
  </si>
  <si>
    <t xml:space="preserve">Grup A</t>
  </si>
  <si>
    <t xml:space="preserve">Grup B</t>
  </si>
  <si>
    <t xml:space="preserve">Grup C</t>
  </si>
  <si>
    <t xml:space="preserve">Grup D</t>
  </si>
  <si>
    <t xml:space="preserve">TOTAL MÒDUL</t>
  </si>
  <si>
    <t xml:space="preserve">PROFESSORS</t>
  </si>
  <si>
    <t xml:space="preserve">Introduïu el nom de cada professor exactament com apareix al formulari:</t>
  </si>
  <si>
    <t xml:space="preserve">Professor</t>
  </si>
  <si>
    <t xml:space="preserve">Observ. totals</t>
  </si>
  <si>
    <t xml:space="preserve">Pere Arnau</t>
  </si>
  <si>
    <t xml:space="preserve">Roger Ferrándiz</t>
  </si>
  <si>
    <t xml:space="preserve">Joan Botella</t>
  </si>
  <si>
    <t xml:space="preserve">Professor amb MÉS observacions:</t>
  </si>
  <si>
    <t xml:space="preserve">Professor amb MENYS observacions:</t>
  </si>
  <si>
    <t xml:space="preserve">TOP 3 ALUMNES PER GRUP  (basat en la puntuació neta acumulada)</t>
  </si>
  <si>
    <t xml:space="preserve">#</t>
  </si>
  <si>
    <t xml:space="preserve">🏆 Positiu #1</t>
  </si>
  <si>
    <t xml:space="preserve">Punt. neta</t>
  </si>
  <si>
    <t xml:space="preserve">⚠️ Negatiu #1</t>
  </si>
  <si>
    <t xml:space="preserve">INDICADORS ADDICIONALS</t>
  </si>
  <si>
    <t xml:space="preserve">Valoració mitjana per observació (tot el mòdul)</t>
  </si>
  <si>
    <t xml:space="preserve">Observacions positives (valoració &gt; 0) al mòdul</t>
  </si>
  <si>
    <t xml:space="preserve">Observacions negatives (valoració &lt; 0) al mòdul</t>
  </si>
  <si>
    <t xml:space="preserve">Observacions neutres (valoració = 0) al mòdul</t>
  </si>
  <si>
    <t xml:space="preserve">Alumnes amb multiplicador final &gt; 1.0 (impacte positiu)</t>
  </si>
  <si>
    <t xml:space="preserve">Alumnes amb multiplicador final &lt; 1.0 (impacte negatiu)</t>
  </si>
  <si>
    <t xml:space="preserve">Total alumnes sense cap observació</t>
  </si>
  <si>
    <t xml:space="preserve">⚠️  NOTA: Les observacions de SMIX2CT i SMIX2DT fetes abans de l'inici del P1 (14/09/2026) apareixeran com a "Sense projecte" i NO es comptabilitzaran per projecte. Un cop actualitzats els formularis de Google, el camp de projecte vindrà del formulari directament.</t>
  </si>
  <si>
    <t xml:space="preserve">Marca de temps</t>
  </si>
  <si>
    <t xml:space="preserve">Adreça electrònica</t>
  </si>
  <si>
    <t xml:space="preserve">Alumne</t>
  </si>
  <si>
    <t xml:space="preserve">Competència transversal observada</t>
  </si>
  <si>
    <t xml:space="preserve">Valoració</t>
  </si>
  <si>
    <t xml:space="preserve">Descripció breu del comportament observat</t>
  </si>
  <si>
    <t xml:space="preserve">Quin projecte estem fent?</t>
  </si>
  <si>
    <t xml:space="preserve">Puntuació</t>
  </si>
  <si>
    <t xml:space="preserve">SMIX2AT</t>
  </si>
  <si>
    <t xml:space="preserve">Nom i cognoms</t>
  </si>
  <si>
    <t xml:space="preserve">Cognoms, nom</t>
  </si>
  <si>
    <t xml:space="preserve">correu</t>
  </si>
  <si>
    <t xml:space="preserve">P1-obs</t>
  </si>
  <si>
    <t xml:space="preserve">P1-balanç</t>
  </si>
  <si>
    <t xml:space="preserve">P2-obs</t>
  </si>
  <si>
    <t xml:space="preserve">P2-balanç</t>
  </si>
  <si>
    <t xml:space="preserve">P3-obs</t>
  </si>
  <si>
    <t xml:space="preserve">P3-balanç</t>
  </si>
  <si>
    <t xml:space="preserve">P4-obs</t>
  </si>
  <si>
    <t xml:space="preserve">P4-balanç</t>
  </si>
  <si>
    <t xml:space="preserve">P5-obs</t>
  </si>
  <si>
    <t xml:space="preserve">P5-balanç</t>
  </si>
  <si>
    <t xml:space="preserve">Puntuació neta</t>
  </si>
  <si>
    <t xml:space="preserve">Total observacions</t>
  </si>
  <si>
    <t xml:space="preserve">Walid Akayour Stitou Tassi</t>
  </si>
  <si>
    <t xml:space="preserve">akayour.stitou.tassi.walid@alumnat.copernic.cat</t>
  </si>
  <si>
    <t xml:space="preserve">Ariadna Barros Picazo</t>
  </si>
  <si>
    <t xml:space="preserve">abarros@alumnat.copernic.cat</t>
  </si>
  <si>
    <t xml:space="preserve">Adrián Cañero García</t>
  </si>
  <si>
    <t xml:space="preserve">acanero@alumnat.copernic.cat</t>
  </si>
  <si>
    <t xml:space="preserve">Izan Cantero Perez</t>
  </si>
  <si>
    <t xml:space="preserve">icantero@alumnat.copernic.cat</t>
  </si>
  <si>
    <t xml:space="preserve">John Chévez Paniagua</t>
  </si>
  <si>
    <t xml:space="preserve">jchevez@alumnat.copernic.cat</t>
  </si>
  <si>
    <t xml:space="preserve">Anouar Daih Seraiti</t>
  </si>
  <si>
    <t xml:space="preserve">adaih@alumnat.copernic.cat</t>
  </si>
  <si>
    <t xml:space="preserve">Iker Espinosa Bujardon</t>
  </si>
  <si>
    <t xml:space="preserve">iespinosa@alumnat.copernic.cat</t>
  </si>
  <si>
    <t xml:space="preserve">Walid Farah Temsamani-Zebzabi</t>
  </si>
  <si>
    <t xml:space="preserve">wfarah@alumnat.copernic.cat</t>
  </si>
  <si>
    <t xml:space="preserve">Iván Gavilán Zafra</t>
  </si>
  <si>
    <t xml:space="preserve">igavilan@alumnat.copernic.cat</t>
  </si>
  <si>
    <t xml:space="preserve">Mohammed Taha Khadiri Alalech</t>
  </si>
  <si>
    <t xml:space="preserve">mtkhadiri@alumnat.copernic.cat</t>
  </si>
  <si>
    <t xml:space="preserve">Max Martos Gasulla</t>
  </si>
  <si>
    <t xml:space="preserve">martos.gasulla.max@alumnat.copernic.cat</t>
  </si>
  <si>
    <t xml:space="preserve">David Molina Sánchez</t>
  </si>
  <si>
    <t xml:space="preserve">molina.sanchez.david@alumnat.copernic.cat</t>
  </si>
  <si>
    <t xml:space="preserve">David Morales Rosales</t>
  </si>
  <si>
    <t xml:space="preserve">morales.rosales.david@alumnat.copernic.cat</t>
  </si>
  <si>
    <t xml:space="preserve">Víctor Moreno Bedmar</t>
  </si>
  <si>
    <t xml:space="preserve">vmoreno@alumnat.copernic.cat</t>
  </si>
  <si>
    <t xml:space="preserve">Bastian Agustín Oyola Almeida</t>
  </si>
  <si>
    <t xml:space="preserve">baoyola@alumnat.copernic.cat</t>
  </si>
  <si>
    <t xml:space="preserve">Eros Angel Quintana Silva</t>
  </si>
  <si>
    <t xml:space="preserve">eaquintana@alumnat.copernic.cat</t>
  </si>
  <si>
    <t xml:space="preserve">Sara Rodríguez Chiara</t>
  </si>
  <si>
    <t xml:space="preserve">srodriguez1@alumnat.copernic.cat</t>
  </si>
  <si>
    <t xml:space="preserve">Mariona Rovira Blasco</t>
  </si>
  <si>
    <t xml:space="preserve">mrovira@alumnat.copernic.cat</t>
  </si>
  <si>
    <t xml:space="preserve">Pau Segura Espigares</t>
  </si>
  <si>
    <t xml:space="preserve">psegura@alumnat.copernic.cat</t>
  </si>
  <si>
    <t xml:space="preserve">Marc Zaragoza López</t>
  </si>
  <si>
    <t xml:space="preserve">mzaragoza@alumnat.copernic.cat</t>
  </si>
  <si>
    <t xml:space="preserve">Recull incidències per alumne</t>
  </si>
  <si>
    <t xml:space="preserve">Selector alumne</t>
  </si>
  <si>
    <t xml:space="preserve">Query que llista les observacions de millors a pitjors durant el període de treball</t>
  </si>
  <si>
    <t xml:space="preserve">SMIX2CT</t>
  </si>
  <si>
    <t xml:space="preserve">Rodrigo Jesus Corredor Garcia</t>
  </si>
  <si>
    <t xml:space="preserve">rjcorredor@alumnat.copernic.cat</t>
  </si>
  <si>
    <t xml:space="preserve">Oussama El Idrissi</t>
  </si>
  <si>
    <t xml:space="preserve">oelidrissi@alumnat.copernic.cat</t>
  </si>
  <si>
    <t xml:space="preserve">Aitor Fenoy Fernández</t>
  </si>
  <si>
    <t xml:space="preserve">afenoy@alumnat.copernic.cat</t>
  </si>
  <si>
    <t xml:space="preserve">Aitor Fernández Bernabé</t>
  </si>
  <si>
    <t xml:space="preserve">afernandez2@alumnat.copernic.cat</t>
  </si>
  <si>
    <t xml:space="preserve">Albert Gálvez García</t>
  </si>
  <si>
    <t xml:space="preserve">agalvez@alumnat.copernic.cat</t>
  </si>
  <si>
    <t xml:space="preserve">Nicolas Francisco González Navarro</t>
  </si>
  <si>
    <t xml:space="preserve">nfgonzalez@alumnat.copernic.cat</t>
  </si>
  <si>
    <t xml:space="preserve">Eric Iborra Polo</t>
  </si>
  <si>
    <t xml:space="preserve">eiborra@alumnat.copernic.cat</t>
  </si>
  <si>
    <t xml:space="preserve">Hugo Magdaleno Martinez</t>
  </si>
  <si>
    <t xml:space="preserve">hmagdaleno@alumnat.copernic.cat</t>
  </si>
  <si>
    <t xml:space="preserve">Iker Magdaleno Martínez</t>
  </si>
  <si>
    <t xml:space="preserve">imagdaleno@alumnat.copernic.cat</t>
  </si>
  <si>
    <t xml:space="preserve">Izan Malagón Martinez</t>
  </si>
  <si>
    <t xml:space="preserve">imalagon@alumnat.copernic.cat</t>
  </si>
  <si>
    <t xml:space="preserve">Alexis Martínez Vaca</t>
  </si>
  <si>
    <t xml:space="preserve">amartinez5@alumnat.copernic.cat</t>
  </si>
  <si>
    <t xml:space="preserve">Eric Mena Martínez</t>
  </si>
  <si>
    <t xml:space="preserve">emena@alumnat.copernic.cat</t>
  </si>
  <si>
    <t xml:space="preserve">Miguel Angel Otero Almonte</t>
  </si>
  <si>
    <t xml:space="preserve">maotero@alumnat.copernic.cat</t>
  </si>
  <si>
    <t xml:space="preserve">Elias Ouanguich Zitan</t>
  </si>
  <si>
    <t xml:space="preserve">eouanguich@alumnat.copernic.cat</t>
  </si>
  <si>
    <t xml:space="preserve">Eloy Pachon de Pablo</t>
  </si>
  <si>
    <t xml:space="preserve">epachon@alumnat.copernic.cat</t>
  </si>
  <si>
    <t xml:space="preserve">Eric Pérez Segura</t>
  </si>
  <si>
    <t xml:space="preserve">eperez2@alumnat.copernic.cat</t>
  </si>
  <si>
    <t xml:space="preserve">Raul Nicolas Radu</t>
  </si>
  <si>
    <t xml:space="preserve">rnradu@alumnat.copernic.cat</t>
  </si>
  <si>
    <t xml:space="preserve">Arnau Riera Ramirez</t>
  </si>
  <si>
    <t xml:space="preserve">ariera@alumnat.copernic.cat</t>
  </si>
  <si>
    <t xml:space="preserve">Alvaro Rodríguez Fernández</t>
  </si>
  <si>
    <t xml:space="preserve">arodriguez1@alumnat.copernic.cat</t>
  </si>
  <si>
    <t xml:space="preserve">Giovanni Rodríguez Morato</t>
  </si>
  <si>
    <t xml:space="preserve">grodriguez@alumnat.copernic.cat</t>
  </si>
  <si>
    <t xml:space="preserve">Adam Yedder Fatih</t>
  </si>
  <si>
    <t xml:space="preserve">ayedder@alumnat.copernic.cat</t>
  </si>
  <si>
    <t xml:space="preserve">pere.arnau@copernic.cat</t>
  </si>
  <si>
    <t xml:space="preserve">Rodríguez Fernández, Alvaro</t>
  </si>
  <si>
    <t xml:space="preserve">Actitud professional</t>
  </si>
  <si>
    <t xml:space="preserve">+2 (Excepcional) - Impacte clar en el grup o projecte</t>
  </si>
  <si>
    <t xml:space="preserve">El grup ha fet un bon treball amb la redacció del mail al client</t>
  </si>
  <si>
    <t xml:space="preserve">Gálvez García, Albert</t>
  </si>
  <si>
    <t xml:space="preserve">González Navarro, Nicolas Francisco</t>
  </si>
  <si>
    <t xml:space="preserve">roger.ferrandiz@copernic.cat</t>
  </si>
  <si>
    <t xml:space="preserve">Fenoy Fernández, Aitor</t>
  </si>
  <si>
    <t xml:space="preserve">Comunicació efectiva</t>
  </si>
  <si>
    <t xml:space="preserve">-1 (Crític) - Afecta negativament el projecte/equip</t>
  </si>
  <si>
    <t xml:space="preserve">El correu que heu enviat té una primera part que amb una probabilitat del 80% o superior de ser generat per una IA a partir de l'enunciat. La continuació del missatge mostra un contrast molt elevat en qualitat, vocabulari, expressió i correcció gramatical i ortogràfica, fet que encara ho fa més evident.
No és una forma de mantenir el contacte amb un client. Demostra poc interès en el treball i genera desconfiança en el client.</t>
  </si>
  <si>
    <t xml:space="preserve">0 (Atenció) - Cal millorar, sense penalització</t>
  </si>
  <si>
    <t xml:space="preserve">Portar gorro en classe (1r avis, al segon descomptarà punts)</t>
  </si>
  <si>
    <t xml:space="preserve">Malagón Martinez, Izan</t>
  </si>
  <si>
    <t xml:space="preserve">Pérez Segura, Eric</t>
  </si>
  <si>
    <t xml:space="preserve">Autogestió del treball</t>
  </si>
  <si>
    <t xml:space="preserve">Ausent en el seu lloc</t>
  </si>
  <si>
    <t xml:space="preserve">Riera Ramirez, Arnau</t>
  </si>
  <si>
    <t xml:space="preserve">Martínez Vaca, Alexis</t>
  </si>
  <si>
    <t xml:space="preserve">Magdaleno Martinez, Hugo</t>
  </si>
  <si>
    <t xml:space="preserve">No fa servir les eines admeses al projecte i se l'ha vist fent servir Deepseek, que no està permès. Ja té NotebookLM per fer aquesta tasca. </t>
  </si>
  <si>
    <t xml:space="preserve">No fa servir les eines admeses al projecte i se l'ha vist fent servir ChatGPT, que no està permès. Ja té NotebookLM per fer aquesta tasca. </t>
  </si>
  <si>
    <t xml:space="preserve">Otero Almonte, Miguel Angel</t>
  </si>
  <si>
    <t xml:space="preserve">Demana ajuda a altres companys que no són del seu grup.</t>
  </si>
  <si>
    <t xml:space="preserve">Mena Martínez, Eric</t>
  </si>
  <si>
    <t xml:space="preserve">El Idrissi , Oussama</t>
  </si>
  <si>
    <t xml:space="preserve">No fa servir les eines admeses al projecte i se l'ha vist fent servir una IA generativa no permesa. Ja té NotebookLM per fer aquesta tasca. </t>
  </si>
  <si>
    <t xml:space="preserve">No fa servir les eines admeses al projecte i se l'ha vist fent servir una IA generativa (gemini), que no està permès. Ja té NotebookLM per fer aquesta tasca. </t>
  </si>
  <si>
    <t xml:space="preserve">Fernández Bernabé, Aitor</t>
  </si>
  <si>
    <t xml:space="preserve">El seu lideratge al grup és clar, i planteja els problemes que troben amb arguments i explicacions clares.</t>
  </si>
  <si>
    <t xml:space="preserve">Pachon de Pablo, Eloy</t>
  </si>
  <si>
    <t xml:space="preserve">La seva aportació al projecte és baixa o nul·la. Ha d'aportar més al grup.</t>
  </si>
  <si>
    <t xml:space="preserve">Es dedica a ajudar els companys, porta el projecte al dia i lidera el grup</t>
  </si>
  <si>
    <t xml:space="preserve">Innovació i creativitat (inclos ús IA)</t>
  </si>
  <si>
    <t xml:space="preserve">Ha trobat una errada a l'enunciat i ha permès la correcció.</t>
  </si>
  <si>
    <t xml:space="preserve">Anar en gorra a classe</t>
  </si>
  <si>
    <t xml:space="preserve">Portar gorra en classe</t>
  </si>
  <si>
    <t xml:space="preserve">Rodríguez Morato, Giovanni</t>
  </si>
  <si>
    <t xml:space="preserve">Envia els resums setmanals al client</t>
  </si>
  <si>
    <t xml:space="preserve">Yedder Fatih, Adam</t>
  </si>
  <si>
    <t xml:space="preserve">+1 (Destacable) - Comportament positiu a reforçar</t>
  </si>
  <si>
    <t xml:space="preserve">Desenvolupa correctament la seva tasca de comercial</t>
  </si>
  <si>
    <t xml:space="preserve">Està fent feina d'un altre mòdul a l'hora de projecte.</t>
  </si>
  <si>
    <t xml:space="preserve">Està fent el manual d'instruccions en HTML i CSS a Git</t>
  </si>
  <si>
    <t xml:space="preserve">Selector mes</t>
  </si>
  <si>
    <t xml:space="preserve">Fernández Revelles, Aaron</t>
  </si>
  <si>
    <t xml:space="preserve">Bona feina!</t>
  </si>
  <si>
    <t xml:space="preserve">Martínez Meca, Alexey</t>
  </si>
  <si>
    <t xml:space="preserve">Perez Mondejar, Alexis Daniel</t>
  </si>
  <si>
    <t xml:space="preserve">Rivas Almonte, Eder David</t>
  </si>
  <si>
    <t xml:space="preserve">Actitud poc professional</t>
  </si>
  <si>
    <t xml:space="preserve">Tinoco Velasquez, Juan Diego</t>
  </si>
  <si>
    <t xml:space="preserve">Pérez Barba, Raúl</t>
  </si>
  <si>
    <t xml:space="preserve">Llançar objectes als companys</t>
  </si>
  <si>
    <t xml:space="preserve">Oughyad Oukhoutch, Adam</t>
  </si>
  <si>
    <t xml:space="preserve">Treball en equip molt bo</t>
  </si>
  <si>
    <t xml:space="preserve">Jornet Tórtola, Adrià</t>
  </si>
  <si>
    <t xml:space="preserve">Aroca Hinojo, Ibai</t>
  </si>
  <si>
    <t xml:space="preserve">Bona feina en classe</t>
  </si>
  <si>
    <t xml:space="preserve">Sánchez Castelao, Àlex</t>
  </si>
  <si>
    <t xml:space="preserve">Bakal El Abbassi, Adam</t>
  </si>
  <si>
    <t xml:space="preserve">No mostra interès en classe amb les presentaions dels altres alumnes</t>
  </si>
  <si>
    <t xml:space="preserve">joan.botella@copernic.cat</t>
  </si>
  <si>
    <t xml:space="preserve">Morante Polo, Aleix</t>
  </si>
  <si>
    <t xml:space="preserve">Passa 2 hores sense fer res, tot i avisar-lo repetides vegades que s'ha de buscar feina.</t>
  </si>
  <si>
    <t xml:space="preserve">No treballa durant 2 hores. Literalment, mira un compte enrere. Parlaré amb el Pere sobre ell.</t>
  </si>
  <si>
    <t xml:space="preserve">No fa res durant la primera hora del dimarts 5/5/26</t>
  </si>
  <si>
    <t xml:space="preserve">Zarzuelo Bernardino, Unai</t>
  </si>
  <si>
    <t xml:space="preserve">SMIX2DT</t>
  </si>
  <si>
    <t xml:space="preserve">Ibai Aroca Hinojo</t>
  </si>
  <si>
    <t xml:space="preserve">aroca.hinojo.ibai@alumnat.copernic.cat</t>
  </si>
  <si>
    <t xml:space="preserve">Adam Bakal El Abbassi</t>
  </si>
  <si>
    <t xml:space="preserve">abakal@alumnat.copernic.cat</t>
  </si>
  <si>
    <t xml:space="preserve">Aaron Fernández Revelles</t>
  </si>
  <si>
    <t xml:space="preserve">afernandez@alumnat.copernic.cat</t>
  </si>
  <si>
    <t xml:space="preserve">Emilio González Báez</t>
  </si>
  <si>
    <t xml:space="preserve">egonzalez1@alumnat.copernic.cat</t>
  </si>
  <si>
    <t xml:space="preserve">Adrià Jornet Tórtola</t>
  </si>
  <si>
    <t xml:space="preserve">ajornet@alumnat.copernic.cat</t>
  </si>
  <si>
    <t xml:space="preserve">Joel Martin Duran</t>
  </si>
  <si>
    <t xml:space="preserve">martin.duran.joel@alumnat.copernic.cat</t>
  </si>
  <si>
    <t xml:space="preserve">Alexey Martínez Meca</t>
  </si>
  <si>
    <t xml:space="preserve">amartinez4@alumnat.copernic.cat</t>
  </si>
  <si>
    <t xml:space="preserve">Aleix Morante Polo</t>
  </si>
  <si>
    <t xml:space="preserve">amorante@alumnat.copernic.cat</t>
  </si>
  <si>
    <t xml:space="preserve">Adam Oughyad Oukhoutch</t>
  </si>
  <si>
    <t xml:space="preserve">aoughyad@alumnat.copernic.cat</t>
  </si>
  <si>
    <t xml:space="preserve">Raúl Pérez Barba</t>
  </si>
  <si>
    <t xml:space="preserve">rperez1@alumnat.copernic.cat</t>
  </si>
  <si>
    <t xml:space="preserve">Alexis Daniel Perez Mondejar</t>
  </si>
  <si>
    <t xml:space="preserve">adperez@alumnat.copernic.cat</t>
  </si>
  <si>
    <t xml:space="preserve">Eder David Rivas Almonte</t>
  </si>
  <si>
    <t xml:space="preserve">edrivas@alumnat.copernic.cat</t>
  </si>
  <si>
    <t xml:space="preserve">Yerai Salvany Uceda</t>
  </si>
  <si>
    <t xml:space="preserve">ysalvany@alumnat.copernic.cat</t>
  </si>
  <si>
    <t xml:space="preserve">Àlex Sánchez Castelao</t>
  </si>
  <si>
    <t xml:space="preserve">rsanchez@alumnat.copernic.cat</t>
  </si>
  <si>
    <t xml:space="preserve">Juan Diego Tinoco Velasquez</t>
  </si>
  <si>
    <t xml:space="preserve">jdtinoco@alumnat.copernic.cat</t>
  </si>
  <si>
    <t xml:space="preserve">Unai Zarzuelo Bernardino</t>
  </si>
  <si>
    <t xml:space="preserve">uzarzuelo@alumnat.copernic.cat</t>
  </si>
  <si>
    <t xml:space="preserve">Roger Ferrandiz</t>
  </si>
  <si>
    <t xml:space="preserve">Projecte</t>
  </si>
  <si>
    <t xml:space="preserve">Data_inici</t>
  </si>
  <si>
    <t xml:space="preserve">Data_final</t>
  </si>
  <si>
    <t xml:space="preserve">Durada en setmanes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</si>
  <si>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</si>
  <si>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</si>
  <si>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</si>
  <si>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</si>
  <si>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</si>
  <si>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Document de clarificació del client (a l’aula)</t>
  </si>
  <si>
    <t xml:space="preserve">No fet o té objeccions que la invaliden</t>
  </si>
  <si>
    <t xml:space="preserve">No aprovat amb objeccions importants</t>
  </si>
  <si>
    <t xml:space="preserve">Aprovada amb objeccions menors</t>
  </si>
  <si>
    <t xml:space="preserve">Aprovada sense objeccions</t>
  </si>
  <si>
    <t xml:space="preserve">Oferta. Coherència entre els documents
(oferta)</t>
  </si>
  <si>
    <t xml:space="preserve">No entregats o no tenen coherència.</t>
  </si>
  <si>
    <t xml:space="preserve">Coherència baixa. Els documents no es refereixen bé entre ells.</t>
  </si>
  <si>
    <t xml:space="preserve">Coherència mitjana. Els documents es refereixen entre ells, però hi ha molt marge de millora.</t>
  </si>
  <si>
    <t xml:space="preserve">Coherència alta. Els documents es refereixen entre ells i l’oferta és correcta sense mancances importants</t>
  </si>
  <si>
    <t xml:space="preserve">0.67</t>
  </si>
  <si>
    <t xml:space="preserve">1.33</t>
  </si>
  <si>
    <t xml:space="preserve">Actes de reunió (auditoria interna)</t>
  </si>
  <si>
    <t xml:space="preserve">No s’han fet actes de reunió</t>
  </si>
  <si>
    <t xml:space="preserve">S’han fet actes de reunió amb contingut insuficient o sense acords clars, no fan la seva funció</t>
  </si>
  <si>
    <t xml:space="preserve">S’han fet actes de reunió amb contingut suficient i acords, però tenen mancances de redacció</t>
  </si>
  <si>
    <t xml:space="preserve">S’han fet actes de reunió amb contingut correcte i acords clars.</t>
  </si>
  <si>
    <t xml:space="preserve">Oferta. Alineació amb les necessitats del client (oferta)</t>
  </si>
  <si>
    <t xml:space="preserve">No entregat o no hi ha alineació amb el client.</t>
  </si>
  <si>
    <t xml:space="preserve">L’oferta no cobreix correctament les necessitats del client, hi ha mancances importants</t>
  </si>
  <si>
    <t xml:space="preserve">L’oferta cobreix aproximadament les necessitats del client, hi ha mancances menors</t>
  </si>
  <si>
    <t xml:space="preserve">L’oferta cobreix bé les necessitats del client.</t>
  </si>
  <si>
    <t xml:space="preserve">0.5</t>
  </si>
  <si>
    <t xml:space="preserve">Correus electrònics (auditoria interna)</t>
  </si>
  <si>
    <t xml:space="preserve">No s’han enviat correus electrònics o s’han enviat fent servir IA per redactar-los.</t>
  </si>
  <si>
    <t xml:space="preserve">S’han enviat correus electrònics insuficients o sense seguir normes bàsiques de correcció i contingut</t>
  </si>
  <si>
    <t xml:space="preserve">S’han tramès correus electrònics suficients seguint normes bàsiques de correcció i contingut, però amb mancances</t>
  </si>
  <si>
    <t xml:space="preserve">S’han tramès tots els correus electrònics que necessitava i compleixen totes les normes de correcció i contingut que es demanen</t>
  </si>
  <si>
    <t xml:space="preserve">Proposta tècnica
(oferta)</t>
  </si>
  <si>
    <t xml:space="preserve">No entregada, no vàlida o presenta un ús excessiu d’IA en la seva redacció</t>
  </si>
  <si>
    <t xml:space="preserve">No descriu bé els diferents punts de què consta. Té mancances rellevants. Hi ha un ús moderat de la IA en la seva redacció.</t>
  </si>
  <si>
    <t xml:space="preserve">Descriu bastant bé els diferents punts de què consta. Té mancances menors. Han fet un ús raonable de la IA per fer el material</t>
  </si>
  <si>
    <t xml:space="preserve">Descriu molt bé els diferents punts. No té mancances remarcables. No han usat IA o han fet un ús mínim d’aquesta.</t>
  </si>
  <si>
    <t xml:space="preserve">Presentació final. Preparació de la reunió (presentació)</t>
  </si>
  <si>
    <t xml:space="preserve">No han preparat la reunió final, no han assajat</t>
  </si>
  <si>
    <t xml:space="preserve">Han preparat la presentació, però poc i es nota.</t>
  </si>
  <si>
    <t xml:space="preserve">Han preparat bastant la presentació i es nota</t>
  </si>
  <si>
    <t xml:space="preserve">Han preparat molt bé la presentació, els ha sortit molt bé.</t>
  </si>
  <si>
    <t xml:space="preserve">Pressupost
(oferta)</t>
  </si>
  <si>
    <t xml:space="preserve">No entregat, no vàlid o presenta un ús excessiu d’IA en la seva redacció</t>
  </si>
  <si>
    <t xml:space="preserve">El pressupost no cobreix totes les necessitats del projecte i presenta mancances importants.</t>
  </si>
  <si>
    <t xml:space="preserve">El pressupost cobreix la majoria de les necessitats del projecte i presenta mancances menors</t>
  </si>
  <si>
    <t xml:space="preserve">El pressupost cobreix totes les necessitats del projecte.</t>
  </si>
  <si>
    <t xml:space="preserve">Presentació final. Material de presentació (presentació)</t>
  </si>
  <si>
    <t xml:space="preserve">No fet o presenta un ús excessiu d’IA en la seva redacció.</t>
  </si>
  <si>
    <t xml:space="preserve">Mal feta, no reflecteix el projecte i les necessitats del client</t>
  </si>
  <si>
    <t xml:space="preserve">Està bé, però té mancances en l’explicació del projecte</t>
  </si>
  <si>
    <t xml:space="preserve">La presentació cobreix tots els aspectes del projecte i les necessitats del client</t>
  </si>
  <si>
    <t xml:space="preserve">Calendari (oferta)</t>
  </si>
  <si>
    <t xml:space="preserve">Està mal fet, no cobreix les diferents tasques i té mancances importants.</t>
  </si>
  <si>
    <t xml:space="preserve">No està malament, manquen algunes tasques i només té mancances menors.</t>
  </si>
  <si>
    <t xml:space="preserve">Està ben fet, té totes les tasques i les durades semblen raonables.</t>
  </si>
  <si>
    <t xml:space="preserve">Aprovació pel client (oferta)</t>
  </si>
  <si>
    <t xml:space="preserve">No presentada</t>
  </si>
  <si>
    <t xml:space="preserve">No aprovada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</si>
</sst>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H1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2.xml><?xml version="1.0" encoding="utf-8"?>
<table xmlns="http://schemas.openxmlformats.org/spreadsheetml/2006/main" id="2" name="Form_Responses2" displayName="Form_Responses2" ref="A1:G32" headerRowCount="1" totalsRowCount="0" totalsRowShown="0">
  <tableColumns count="7">
    <tableColumn id="1" name="Marca de temps"/>
    <tableColumn id="2" name="Adreça electrònica"/>
    <tableColumn id="3" name="Professor"/>
    <tableColumn id="4" name="Alumne"/>
    <tableColumn id="5" name="Competència transversal observada"/>
    <tableColumn id="6" name="Valoració"/>
    <tableColumn id="7" name="Descripció breu del comportament observat"/>
  </tableColumns>
</table>
</file>

<file path=xl/tables/table3.xml><?xml version="1.0" encoding="utf-8"?>
<table xmlns="http://schemas.openxmlformats.org/spreadsheetml/2006/main" id="3" name="Form_Responses3" displayName="Form_Responses3" ref="A1:G20" headerRowCount="1" totalsRowCount="0" totalsRowShown="0">
  <tableColumns count="7">
    <tableColumn id="1" name="Marca de temps"/>
    <tableColumn id="2" name="Adreça electrònica"/>
    <tableColumn id="3" name="Professor"/>
    <tableColumn id="4" name="Alumne"/>
    <tableColumn id="5" name="Competència transversal observada"/>
    <tableColumn id="6" name="Valoració"/>
    <tableColumn id="7" name="Descripció breu del comportament observat"/>
  </tableColumns>
</table>
</file>

<file path=xl/tables/table4.xml><?xml version="1.0" encoding="utf-8"?>
<table xmlns="http://schemas.openxmlformats.org/spreadsheetml/2006/main" id="4" name="Form_Responses_2" displayName="Form_Responses_2" ref="A1:H1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8" min="6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0" t="str">
        <f aca="true">TEXT(TODAY(),"DD/MM/YYYY")</f>
        <v>27/06/2026</v>
      </c>
      <c r="G2" s="0" t="s">
        <v>1</v>
      </c>
      <c r="H2" s="0" t="n">
        <f aca="true">IFERROR(MAX(0,ROUND((MIN(TODAY(),Calendari!$C$6)-Calendari!$B$2)/7,1)),0)</f>
        <v>0</v>
      </c>
    </row>
    <row r="4" customFormat="false" ht="19.5" hidden="false" customHeight="true" outlineLevel="0" collapsed="false">
      <c r="A4" s="1" t="s">
        <v>2</v>
      </c>
      <c r="B4" s="1"/>
      <c r="C4" s="1"/>
      <c r="D4" s="1"/>
      <c r="E4" s="1"/>
      <c r="F4" s="1"/>
      <c r="G4" s="1"/>
      <c r="H4" s="1"/>
    </row>
    <row r="5" customFormat="false" ht="15.75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</row>
    <row r="6" customFormat="false" ht="15.75" hidden="false" customHeight="false" outlineLevel="0" collapsed="false">
      <c r="A6" s="0" t="s">
        <v>11</v>
      </c>
      <c r="B6" s="0" t="n">
        <f aca="false">MAX(0,COUNTA(SMIX2AT!$A:$A)-1)</f>
        <v>0</v>
      </c>
      <c r="C6" s="0" t="n">
        <f aca="false">IFERROR(B6/$H$2,0)</f>
        <v>0</v>
      </c>
      <c r="D6" s="0" t="n">
        <f aca="false">COUNTIF(Alumnes_A!$B$3:$B$40,"&lt;&gt;")</f>
        <v>0</v>
      </c>
      <c r="E6" s="0" t="n">
        <f aca="false">COUNTIFS(Alumnes_A!$O$3:$O$40,0,Alumnes_A!$B$3:$B$40,"&lt;&gt;")</f>
        <v>0</v>
      </c>
      <c r="F6" s="0" t="n">
        <f aca="false">IFERROR(COUNTIFS(Alumnes_A!$N$3:$N$40,"&gt;"&amp;0,Alumnes_A!$B$3:$B$40,"&lt;&gt;")/COUNTIF(Alumnes_A!$B$3:$B$40,"&lt;&gt;"),0)</f>
        <v>0</v>
      </c>
      <c r="G6" s="0" t="n">
        <f aca="false">IFERROR(COUNTIFS(Alumnes_A!$N$3:$N$40,"&lt;"&amp;0,Alumnes_A!$B$3:$B$40,"&lt;&gt;")/COUNTIF(Alumnes_A!$B$3:$B$40,"&lt;&gt;"),0)</f>
        <v>0</v>
      </c>
      <c r="H6" s="0" t="n">
        <f aca="false">COUNTA(Alumnes_A!$A$3:$A$40)</f>
        <v>22</v>
      </c>
    </row>
    <row r="7" customFormat="false" ht="15.75" hidden="false" customHeight="false" outlineLevel="0" collapsed="false">
      <c r="A7" s="0" t="s">
        <v>12</v>
      </c>
      <c r="B7" s="0" t="n">
        <f aca="false">MAX(0,COUNTA(SMIX2BT!$A:$A)-1)</f>
        <v>0</v>
      </c>
      <c r="C7" s="0" t="n">
        <f aca="false">IFERROR(B7/$H$2,0)</f>
        <v>0</v>
      </c>
      <c r="D7" s="0" t="n">
        <f aca="false">COUNTIF(Alumnes_B!$B$3:$B$40,"&lt;&gt;")</f>
        <v>0</v>
      </c>
      <c r="E7" s="0" t="n">
        <f aca="false">COUNTIFS(Alumnes_B!$O$3:$O$40,0,Alumnes_B!$B$3:$B$40,"&lt;&gt;")</f>
        <v>0</v>
      </c>
      <c r="F7" s="0" t="n">
        <f aca="false">IFERROR(COUNTIFS(Alumnes_B!$N$3:$N$40,"&gt;"&amp;0,Alumnes_B!$B$3:$B$40,"&lt;&gt;")/COUNTIF(Alumnes_B!$B$3:$B$40,"&lt;&gt;"),0)</f>
        <v>0</v>
      </c>
      <c r="G7" s="0" t="n">
        <f aca="false">IFERROR(COUNTIFS(Alumnes_B!$N$3:$N$40,"&lt;"&amp;0,Alumnes_B!$B$3:$B$40,"&lt;&gt;")/COUNTIF(Alumnes_B!$B$3:$B$40,"&lt;&gt;"),0)</f>
        <v>0</v>
      </c>
      <c r="H7" s="0" t="n">
        <f aca="false">COUNTA(Alumnes_B!$A$3:$A$40)</f>
        <v>23</v>
      </c>
    </row>
    <row r="8" customFormat="false" ht="15.75" hidden="false" customHeight="false" outlineLevel="0" collapsed="false">
      <c r="A8" s="0" t="s">
        <v>13</v>
      </c>
      <c r="B8" s="0" t="n">
        <f aca="false">MAX(0,COUNTA(SMIX2CT!$A:$A)-1)</f>
        <v>31</v>
      </c>
      <c r="C8" s="0" t="n">
        <f aca="false">IFERROR(B8/$H$2,0)</f>
        <v>0</v>
      </c>
      <c r="D8" s="0" t="n">
        <f aca="false">COUNTIF(Alumnes_C!$B$3:$B$40,"&lt;&gt;")</f>
        <v>17</v>
      </c>
      <c r="E8" s="0" t="n">
        <f aca="false">COUNTIFS(Alumnes_C!$O$3:$O$40,0,Alumnes_C!$B$3:$B$40,"&lt;&gt;")</f>
        <v>17</v>
      </c>
      <c r="F8" s="0" t="n">
        <f aca="false">IFERROR(COUNTIFS(Alumnes_C!$N$3:$N$40,"&gt;"&amp;0,Alumnes_C!$B$3:$B$40,"&lt;&gt;")/COUNTIF(Alumnes_C!$B$3:$B$40,"&lt;&gt;"),0)</f>
        <v>0.411764705882353</v>
      </c>
      <c r="G8" s="0" t="n">
        <f aca="false">IFERROR(COUNTIFS(Alumnes_C!$N$3:$N$40,"&lt;"&amp;0,Alumnes_C!$B$3:$B$40,"&lt;&gt;")/COUNTIF(Alumnes_C!$B$3:$B$40,"&lt;&gt;"),0)</f>
        <v>0.529411764705882</v>
      </c>
      <c r="H8" s="0" t="n">
        <f aca="false">COUNTA(Alumnes_C!$A$3:$A$40)</f>
        <v>23</v>
      </c>
    </row>
    <row r="9" customFormat="false" ht="15.75" hidden="false" customHeight="false" outlineLevel="0" collapsed="false">
      <c r="A9" s="0" t="s">
        <v>14</v>
      </c>
      <c r="B9" s="0" t="n">
        <f aca="false">MAX(0,COUNTA(SMIX2DT!$A:$A)-1)</f>
        <v>19</v>
      </c>
      <c r="C9" s="0" t="n">
        <f aca="false">IFERROR(B9/$H$2,0)</f>
        <v>0</v>
      </c>
      <c r="D9" s="0" t="n">
        <f aca="false">COUNTIF(Alumnes_D!$B$3:$B$40,"&lt;&gt;")</f>
        <v>13</v>
      </c>
      <c r="E9" s="0" t="n">
        <f aca="false">COUNTIFS(Alumnes_D!$O$3:$O$40,0,Alumnes_D!$B$3:$B$40,"&lt;&gt;")</f>
        <v>13</v>
      </c>
      <c r="F9" s="0" t="n">
        <f aca="false">IFERROR(COUNTIFS(Alumnes_D!$N$3:$N$40,"&gt;"&amp;0,Alumnes_D!$B$3:$B$40,"&lt;&gt;")/COUNTIF(Alumnes_D!$B$3:$B$40,"&lt;&gt;"),0)</f>
        <v>0.615384615384615</v>
      </c>
      <c r="G9" s="0" t="n">
        <f aca="false">IFERROR(COUNTIFS(Alumnes_D!$N$3:$N$40,"&lt;"&amp;0,Alumnes_D!$B$3:$B$40,"&lt;&gt;")/COUNTIF(Alumnes_D!$B$3:$B$40,"&lt;&gt;"),0)</f>
        <v>0.230769230769231</v>
      </c>
      <c r="H9" s="0" t="n">
        <f aca="false">COUNTA(Alumnes_D!$A$3:$A$40)</f>
        <v>21</v>
      </c>
    </row>
    <row r="10" customFormat="false" ht="15.75" hidden="false" customHeight="false" outlineLevel="0" collapsed="false">
      <c r="A10" s="0" t="s">
        <v>15</v>
      </c>
      <c r="B10" s="0" t="n">
        <f aca="false">B6+B7+B8+B9</f>
        <v>50</v>
      </c>
      <c r="C10" s="0" t="n">
        <f aca="false">IFERROR(B10/$H$2,0)</f>
        <v>0</v>
      </c>
      <c r="D10" s="0" t="n">
        <f aca="false">D6+D7+D8+D9</f>
        <v>30</v>
      </c>
    </row>
    <row r="12" customFormat="false" ht="15.75" hidden="false" customHeight="false" outlineLevel="0" collapsed="false">
      <c r="A12" s="1" t="s">
        <v>16</v>
      </c>
      <c r="B12" s="1"/>
      <c r="C12" s="1"/>
      <c r="D12" s="1"/>
      <c r="E12" s="1"/>
      <c r="F12" s="1"/>
      <c r="G12" s="1"/>
      <c r="H12" s="1"/>
    </row>
    <row r="13" customFormat="false" ht="15.75" hidden="false" customHeight="false" outlineLevel="0" collapsed="false">
      <c r="A13" s="1" t="s">
        <v>17</v>
      </c>
      <c r="B13" s="1"/>
      <c r="C13" s="1"/>
      <c r="D13" s="1"/>
      <c r="E13" s="1"/>
      <c r="F13" s="1"/>
      <c r="G13" s="1"/>
      <c r="H13" s="1"/>
    </row>
    <row r="14" customFormat="false" ht="15.75" hidden="false" customHeight="false" outlineLevel="0" collapsed="false">
      <c r="A14" s="0" t="s">
        <v>18</v>
      </c>
      <c r="B14" s="0" t="s">
        <v>19</v>
      </c>
      <c r="C14" s="0" t="s">
        <v>11</v>
      </c>
      <c r="D14" s="0" t="s">
        <v>12</v>
      </c>
      <c r="E14" s="0" t="s">
        <v>13</v>
      </c>
      <c r="F14" s="0" t="s">
        <v>14</v>
      </c>
    </row>
    <row r="15" customFormat="false" ht="15.75" hidden="false" customHeight="false" outlineLevel="0" collapsed="false">
      <c r="A15" s="0" t="s">
        <v>20</v>
      </c>
      <c r="B15" s="0" t="n">
        <f aca="false">IF(A15="",0,C15+D15+E15+F15)</f>
        <v>26</v>
      </c>
      <c r="C15" s="0" t="n">
        <f aca="false">IF(A15="",0,COUNTIF(SMIX2AT!$C:$C,A15))</f>
        <v>0</v>
      </c>
      <c r="D15" s="0" t="n">
        <f aca="false">IF(A15="",0,COUNTIF(SMIX2BT!$C:$C,A15))</f>
        <v>0</v>
      </c>
      <c r="E15" s="0" t="n">
        <f aca="false">IF(A15="",0,COUNTIF(SMIX2CT!$C:$C,A15))</f>
        <v>12</v>
      </c>
      <c r="F15" s="0" t="n">
        <f aca="false">IF(A15="",0,COUNTIF(SMIX2DT!$C:$C,A15))</f>
        <v>14</v>
      </c>
    </row>
    <row r="16" customFormat="false" ht="15.75" hidden="false" customHeight="false" outlineLevel="0" collapsed="false">
      <c r="A16" s="0" t="s">
        <v>21</v>
      </c>
      <c r="B16" s="0" t="n">
        <f aca="false">IF(A16="",0,C16+D16+E16+F16)</f>
        <v>19</v>
      </c>
      <c r="C16" s="0" t="n">
        <f aca="false">IF(A16="",0,COUNTIF(SMIX2AT!$C:$C,A16))</f>
        <v>0</v>
      </c>
      <c r="D16" s="0" t="n">
        <f aca="false">IF(A16="",0,COUNTIF(SMIX2BT!$C:$C,A16))</f>
        <v>0</v>
      </c>
      <c r="E16" s="0" t="n">
        <f aca="false">IF(A16="",0,COUNTIF(SMIX2CT!$C:$C,A16))</f>
        <v>19</v>
      </c>
      <c r="F16" s="0" t="n">
        <f aca="false">IF(A16="",0,COUNTIF(SMIX2DT!$C:$C,A16))</f>
        <v>0</v>
      </c>
    </row>
    <row r="17" customFormat="false" ht="15.75" hidden="false" customHeight="false" outlineLevel="0" collapsed="false">
      <c r="A17" s="0" t="s">
        <v>22</v>
      </c>
      <c r="B17" s="0" t="n">
        <f aca="false">IF(A17="",0,C17+D17+E17+F17)</f>
        <v>5</v>
      </c>
      <c r="C17" s="0" t="n">
        <f aca="false">IF(A17="",0,COUNTIF(SMIX2AT!$C:$C,A17))</f>
        <v>0</v>
      </c>
      <c r="D17" s="0" t="n">
        <f aca="false">IF(A17="",0,COUNTIF(SMIX2BT!$C:$C,A17))</f>
        <v>0</v>
      </c>
      <c r="E17" s="0" t="n">
        <f aca="false">IF(A17="",0,COUNTIF(SMIX2CT!$C:$C,A17))</f>
        <v>0</v>
      </c>
      <c r="F17" s="0" t="n">
        <f aca="false">IF(A17="",0,COUNTIF(SMIX2DT!$C:$C,A17))</f>
        <v>5</v>
      </c>
    </row>
    <row r="18" customFormat="false" ht="15.75" hidden="false" customHeight="false" outlineLevel="0" collapsed="false">
      <c r="B18" s="0" t="n">
        <f aca="false">IF(A18="",0,C18+D18+E18+F18)</f>
        <v>0</v>
      </c>
      <c r="C18" s="0" t="n">
        <f aca="false">IF(A18="",0,COUNTIF(SMIX2AT!$C:$C,A18))</f>
        <v>0</v>
      </c>
      <c r="D18" s="0" t="n">
        <f aca="false">IF(A18="",0,COUNTIF(SMIX2BT!$C:$C,A18))</f>
        <v>0</v>
      </c>
      <c r="E18" s="0" t="n">
        <f aca="false">IF(A18="",0,COUNTIF(SMIX2CT!$C:$C,A18))</f>
        <v>0</v>
      </c>
      <c r="F18" s="0" t="n">
        <f aca="false">IF(A18="",0,COUNTIF(SMIX2DT!$C:$C,A18))</f>
        <v>0</v>
      </c>
    </row>
    <row r="19" customFormat="false" ht="15.75" hidden="false" customHeight="false" outlineLevel="0" collapsed="false">
      <c r="B19" s="0" t="n">
        <f aca="false">IF(A19="",0,C19+D19+E19+F19)</f>
        <v>0</v>
      </c>
      <c r="C19" s="0" t="n">
        <f aca="false">IF(A19="",0,COUNTIF(SMIX2AT!$C:$C,A19))</f>
        <v>0</v>
      </c>
      <c r="D19" s="0" t="n">
        <f aca="false">IF(A19="",0,COUNTIF(SMIX2BT!$C:$C,A19))</f>
        <v>0</v>
      </c>
      <c r="E19" s="0" t="n">
        <f aca="false">IF(A19="",0,COUNTIF(SMIX2CT!$C:$C,A19))</f>
        <v>0</v>
      </c>
      <c r="F19" s="0" t="n">
        <f aca="false">IF(A19="",0,COUNTIF(SMIX2DT!$C:$C,A19))</f>
        <v>0</v>
      </c>
    </row>
    <row r="20" customFormat="false" ht="15.75" hidden="false" customHeight="false" outlineLevel="0" collapsed="false">
      <c r="B20" s="0" t="n">
        <f aca="false">IF(A20="",0,C20+D20+E20+F20)</f>
        <v>0</v>
      </c>
      <c r="C20" s="0" t="n">
        <f aca="false">IF(A20="",0,COUNTIF(SMIX2AT!$C:$C,A20))</f>
        <v>0</v>
      </c>
      <c r="D20" s="0" t="n">
        <f aca="false">IF(A20="",0,COUNTIF(SMIX2BT!$C:$C,A20))</f>
        <v>0</v>
      </c>
      <c r="E20" s="0" t="n">
        <f aca="false">IF(A20="",0,COUNTIF(SMIX2CT!$C:$C,A20))</f>
        <v>0</v>
      </c>
      <c r="F20" s="0" t="n">
        <f aca="false">IF(A20="",0,COUNTIF(SMIX2DT!$C:$C,A20))</f>
        <v>0</v>
      </c>
    </row>
    <row r="21" customFormat="false" ht="15.75" hidden="false" customHeight="false" outlineLevel="0" collapsed="false">
      <c r="A21" s="1" t="s">
        <v>23</v>
      </c>
      <c r="B21" s="1"/>
      <c r="C21" s="1"/>
      <c r="D21" s="2" t="str">
        <f aca="false">IFERROR(INDEX(A15:A20,MATCH(MAX(B15:B20),B15:B20,0))&amp;" ("&amp;MAX(B15:B20)&amp;" obs.)","—")</f>
        <v>Pere Arnau (26 obs.)</v>
      </c>
      <c r="E21" s="2"/>
      <c r="F21" s="2"/>
      <c r="G21" s="2"/>
      <c r="H21" s="2"/>
    </row>
    <row r="22" customFormat="false" ht="15.75" hidden="false" customHeight="false" outlineLevel="0" collapsed="false">
      <c r="A22" s="1" t="s">
        <v>24</v>
      </c>
      <c r="B22" s="1"/>
      <c r="C22" s="1"/>
      <c r="D22" s="2" t="str">
        <f aca="false">IFERROR(INDEX(A15:A20,MATCH(minifs(B15:B20,B15:B20,"&gt;"&amp;0),B15:B20,0))&amp;" ("&amp;minifs(B15:B20,B15:B20,"&gt;"&amp;0)&amp;" obs.)","—")</f>
        <v>—</v>
      </c>
      <c r="E22" s="2"/>
      <c r="F22" s="2"/>
      <c r="G22" s="2"/>
      <c r="H22" s="2"/>
    </row>
    <row r="24" customFormat="false" ht="15.75" hidden="false" customHeight="false" outlineLevel="0" collapsed="false">
      <c r="A24" s="1" t="s">
        <v>25</v>
      </c>
      <c r="B24" s="1"/>
      <c r="C24" s="1"/>
      <c r="D24" s="1"/>
      <c r="E24" s="1"/>
      <c r="F24" s="1"/>
      <c r="G24" s="1"/>
      <c r="H24" s="1"/>
    </row>
    <row r="25" customFormat="false" ht="15.75" hidden="false" customHeight="false" outlineLevel="0" collapsed="false">
      <c r="A25" s="0" t="s">
        <v>3</v>
      </c>
      <c r="B25" s="0" t="s">
        <v>26</v>
      </c>
      <c r="C25" s="0" t="s">
        <v>27</v>
      </c>
      <c r="D25" s="0" t="s">
        <v>28</v>
      </c>
      <c r="E25" s="0" t="s">
        <v>29</v>
      </c>
      <c r="F25" s="0" t="s">
        <v>28</v>
      </c>
    </row>
    <row r="26" customFormat="false" ht="15.75" hidden="false" customHeight="false" outlineLevel="0" collapsed="false">
      <c r="A26" s="0" t="s">
        <v>11</v>
      </c>
      <c r="B26" s="0" t="n">
        <v>1</v>
      </c>
      <c r="C26" s="0" t="str">
        <f aca="false">IFERROR(IF(LARGE(Alumnes_A!$N$3:$N$40,1)&gt;0,INDEX(Alumnes_A!$A$3:$A$40,MATCH(LARGE(Alumnes_A!$N$3:$N$40,1),Alumnes_A!$N$3:$N$40,0)),"—"),"—")</f>
        <v>—</v>
      </c>
      <c r="D26" s="0" t="str">
        <f aca="false">IFERROR(IF(LARGE(Alumnes_A!$N$3:$N$40,1)&gt;0,LARGE(Alumnes_A!$N$3:$N$40,1),"—"),"—")</f>
        <v>—</v>
      </c>
      <c r="E26" s="0" t="str">
        <f aca="false">IFERROR(IF(SMALL(Alumnes_A!$N$3:$N$40,1)&lt;0,INDEX(Alumnes_A!$A$3:$A$40,MATCH(SMALL(Alumnes_A!$N$3:$N$40,1),Alumnes_A!$N$3:$N$40,0)),"—"),"—")</f>
        <v>—</v>
      </c>
      <c r="F26" s="0" t="str">
        <f aca="false">IFERROR(IF(SMALL(Alumnes_A!$N$3:$N$40,1)&lt;0,SMALL(Alumnes_A!$N$3:$N$40,1),"—"),"—")</f>
        <v>—</v>
      </c>
    </row>
    <row r="27" customFormat="false" ht="15.75" hidden="false" customHeight="false" outlineLevel="0" collapsed="false">
      <c r="B27" s="0" t="n">
        <v>2</v>
      </c>
      <c r="C27" s="0" t="str">
        <f aca="false">IFERROR(IF(LARGE(Alumnes_A!$N$3:$N$40,2)&gt;0,INDEX(Alumnes_A!$A$3:$A$40,MATCH(LARGE(Alumnes_A!$N$3:$N$40,2),Alumnes_A!$N$3:$N$40,0)),"—"),"—")</f>
        <v>—</v>
      </c>
      <c r="D27" s="0" t="str">
        <f aca="false">IFERROR(IF(LARGE(Alumnes_A!$N$3:$N$40,2)&gt;0,LARGE(Alumnes_A!$N$3:$N$40,2),"—"),"—")</f>
        <v>—</v>
      </c>
      <c r="E27" s="0" t="str">
        <f aca="false">IFERROR(IF(SMALL(Alumnes_A!$N$3:$N$40,2)&lt;0,INDEX(Alumnes_A!$A$3:$A$40,MATCH(SMALL(Alumnes_A!$N$3:$N$40,2),Alumnes_A!$N$3:$N$40,0)),"—"),"—")</f>
        <v>—</v>
      </c>
      <c r="F27" s="0" t="str">
        <f aca="false">IFERROR(IF(SMALL(Alumnes_A!$N$3:$N$40,2)&lt;0,SMALL(Alumnes_A!$N$3:$N$40,2),"—"),"—")</f>
        <v>—</v>
      </c>
    </row>
    <row r="28" customFormat="false" ht="15.75" hidden="false" customHeight="false" outlineLevel="0" collapsed="false">
      <c r="B28" s="0" t="n">
        <v>3</v>
      </c>
      <c r="C28" s="0" t="str">
        <f aca="false">IFERROR(IF(LARGE(Alumnes_A!$N$3:$N$40,3)&gt;0,INDEX(Alumnes_A!$A$3:$A$40,MATCH(LARGE(Alumnes_A!$N$3:$N$40,3),Alumnes_A!$N$3:$N$40,0)),"—"),"—")</f>
        <v>—</v>
      </c>
      <c r="D28" s="0" t="str">
        <f aca="false">IFERROR(IF(LARGE(Alumnes_A!$N$3:$N$40,3)&gt;0,LARGE(Alumnes_A!$N$3:$N$40,3),"—"),"—")</f>
        <v>—</v>
      </c>
      <c r="E28" s="0" t="str">
        <f aca="false">IFERROR(IF(SMALL(Alumnes_A!$N$3:$N$40,3)&lt;0,INDEX(Alumnes_A!$A$3:$A$40,MATCH(SMALL(Alumnes_A!$N$3:$N$40,3),Alumnes_A!$N$3:$N$40,0)),"—"),"—")</f>
        <v>—</v>
      </c>
      <c r="F28" s="0" t="str">
        <f aca="false">IFERROR(IF(SMALL(Alumnes_A!$N$3:$N$40,3)&lt;0,SMALL(Alumnes_A!$N$3:$N$40,3),"—"),"—")</f>
        <v>—</v>
      </c>
    </row>
    <row r="29" customFormat="false" ht="15.75" hidden="false" customHeight="false" outlineLevel="0" collapsed="false">
      <c r="A29" s="0" t="s">
        <v>12</v>
      </c>
      <c r="B29" s="0" t="n">
        <v>1</v>
      </c>
      <c r="C29" s="0" t="str">
        <f aca="false">IFERROR(IF(LARGE(Alumnes_B!$N$3:$N$40,1)&gt;0,INDEX(Alumnes_B!$A$3:$A$40,MATCH(LARGE(Alumnes_B!$N$3:$N$40,1),Alumnes_B!$N$3:$N$40,0)),"—"),"—")</f>
        <v>—</v>
      </c>
      <c r="D29" s="0" t="str">
        <f aca="false">IFERROR(IF(LARGE(Alumnes_B!$N$3:$N$40,1)&gt;0,LARGE(Alumnes_B!$N$3:$N$40,1),"—"),"—")</f>
        <v>—</v>
      </c>
      <c r="E29" s="0" t="str">
        <f aca="false">IFERROR(IF(SMALL(Alumnes_B!$N$3:$N$40,1)&lt;0,INDEX(Alumnes_B!$A$3:$A$40,MATCH(SMALL(Alumnes_B!$N$3:$N$40,1),Alumnes_B!$N$3:$N$40,0)),"—"),"—")</f>
        <v>—</v>
      </c>
      <c r="F29" s="0" t="str">
        <f aca="false">IFERROR(IF(SMALL(Alumnes_B!$N$3:$N$40,1)&lt;0,SMALL(Alumnes_B!$N$3:$N$40,1),"—"),"—")</f>
        <v>—</v>
      </c>
    </row>
    <row r="30" customFormat="false" ht="15.75" hidden="false" customHeight="false" outlineLevel="0" collapsed="false">
      <c r="B30" s="0" t="n">
        <v>2</v>
      </c>
      <c r="C30" s="0" t="str">
        <f aca="false">IFERROR(IF(LARGE(Alumnes_B!$N$3:$N$40,2)&gt;0,INDEX(Alumnes_B!$A$3:$A$40,MATCH(LARGE(Alumnes_B!$N$3:$N$40,2),Alumnes_B!$N$3:$N$40,0)),"—"),"—")</f>
        <v>—</v>
      </c>
      <c r="D30" s="0" t="str">
        <f aca="false">IFERROR(IF(LARGE(Alumnes_B!$N$3:$N$40,2)&gt;0,LARGE(Alumnes_B!$N$3:$N$40,2),"—"),"—")</f>
        <v>—</v>
      </c>
      <c r="E30" s="0" t="str">
        <f aca="false">IFERROR(IF(SMALL(Alumnes_B!$N$3:$N$40,2)&lt;0,INDEX(Alumnes_B!$A$3:$A$40,MATCH(SMALL(Alumnes_B!$N$3:$N$40,2),Alumnes_B!$N$3:$N$40,0)),"—"),"—")</f>
        <v>—</v>
      </c>
      <c r="F30" s="0" t="str">
        <f aca="false">IFERROR(IF(SMALL(Alumnes_B!$N$3:$N$40,2)&lt;0,SMALL(Alumnes_B!$N$3:$N$40,2),"—"),"—")</f>
        <v>—</v>
      </c>
    </row>
    <row r="31" customFormat="false" ht="15.75" hidden="false" customHeight="false" outlineLevel="0" collapsed="false">
      <c r="B31" s="0" t="n">
        <v>3</v>
      </c>
      <c r="C31" s="0" t="str">
        <f aca="false">IFERROR(IF(LARGE(Alumnes_B!$N$3:$N$40,3)&gt;0,INDEX(Alumnes_B!$A$3:$A$40,MATCH(LARGE(Alumnes_B!$N$3:$N$40,3),Alumnes_B!$N$3:$N$40,0)),"—"),"—")</f>
        <v>—</v>
      </c>
      <c r="D31" s="0" t="str">
        <f aca="false">IFERROR(IF(LARGE(Alumnes_B!$N$3:$N$40,3)&gt;0,LARGE(Alumnes_B!$N$3:$N$40,3),"—"),"—")</f>
        <v>—</v>
      </c>
      <c r="E31" s="0" t="str">
        <f aca="false">IFERROR(IF(SMALL(Alumnes_B!$N$3:$N$40,3)&lt;0,INDEX(Alumnes_B!$A$3:$A$40,MATCH(SMALL(Alumnes_B!$N$3:$N$40,3),Alumnes_B!$N$3:$N$40,0)),"—"),"—")</f>
        <v>—</v>
      </c>
      <c r="F31" s="0" t="str">
        <f aca="false">IFERROR(IF(SMALL(Alumnes_B!$N$3:$N$40,3)&lt;0,SMALL(Alumnes_B!$N$3:$N$40,3),"—"),"—")</f>
        <v>—</v>
      </c>
    </row>
    <row r="32" customFormat="false" ht="15.75" hidden="false" customHeight="false" outlineLevel="0" collapsed="false">
      <c r="A32" s="0" t="s">
        <v>13</v>
      </c>
      <c r="B32" s="0" t="n">
        <v>1</v>
      </c>
      <c r="C32" s="0" t="str">
        <f aca="false">IFERROR(IF(LARGE(Alumnes_C!$N$3:$N$40,1)&gt;0,INDEX(Alumnes_C!$A$3:$A$40,MATCH(LARGE(Alumnes_C!$N$3:$N$40,1),Alumnes_C!$N$3:$N$40,0)),"—"),"—")</f>
        <v>Alexis Martínez Vaca</v>
      </c>
      <c r="D32" s="0" t="n">
        <f aca="false">IFERROR(IF(LARGE(Alumnes_C!$N$3:$N$40,1)&gt;0,LARGE(Alumnes_C!$N$3:$N$40,1),"—"),"—")</f>
        <v>4</v>
      </c>
      <c r="E32" s="0" t="str">
        <f aca="false">IFERROR(IF(SMALL(Alumnes_C!$N$3:$N$40,1)&lt;0,INDEX(Alumnes_C!$A$3:$A$40,MATCH(SMALL(Alumnes_C!$N$3:$N$40,1),Alumnes_C!$N$3:$N$40,0)),"—"),"—")</f>
        <v>Izan Malagón Martinez</v>
      </c>
      <c r="F32" s="0" t="n">
        <f aca="false">IFERROR(IF(SMALL(Alumnes_C!$N$3:$N$40,1)&lt;0,SMALL(Alumnes_C!$N$3:$N$40,1),"—"),"—")</f>
        <v>-2</v>
      </c>
    </row>
    <row r="33" customFormat="false" ht="15.75" hidden="false" customHeight="false" outlineLevel="0" collapsed="false">
      <c r="B33" s="0" t="n">
        <v>2</v>
      </c>
      <c r="C33" s="0" t="str">
        <f aca="false">IFERROR(IF(LARGE(Alumnes_C!$N$3:$N$40,2)&gt;0,INDEX(Alumnes_C!$A$3:$A$40,MATCH(LARGE(Alumnes_C!$N$3:$N$40,2),Alumnes_C!$N$3:$N$40,0)),"—"),"—")</f>
        <v>Albert Gálvez García</v>
      </c>
      <c r="D33" s="0" t="n">
        <f aca="false">IFERROR(IF(LARGE(Alumnes_C!$N$3:$N$40,2)&gt;0,LARGE(Alumnes_C!$N$3:$N$40,2),"—"),"—")</f>
        <v>3</v>
      </c>
      <c r="E33" s="0" t="str">
        <f aca="false">IFERROR(IF(SMALL(Alumnes_C!$N$3:$N$40,2)&lt;0,INDEX(Alumnes_C!$A$3:$A$40,MATCH(SMALL(Alumnes_C!$N$3:$N$40,2),Alumnes_C!$N$3:$N$40,0)),"—"),"—")</f>
        <v>Izan Malagón Martinez</v>
      </c>
      <c r="F33" s="0" t="n">
        <f aca="false">IFERROR(IF(SMALL(Alumnes_C!$N$3:$N$40,2)&lt;0,SMALL(Alumnes_C!$N$3:$N$40,2),"—"),"—")</f>
        <v>-2</v>
      </c>
    </row>
    <row r="34" customFormat="false" ht="15.75" hidden="false" customHeight="false" outlineLevel="0" collapsed="false">
      <c r="B34" s="0" t="n">
        <v>3</v>
      </c>
      <c r="C34" s="0" t="str">
        <f aca="false">IFERROR(IF(LARGE(Alumnes_C!$N$3:$N$40,3)&gt;0,INDEX(Alumnes_C!$A$3:$A$40,MATCH(LARGE(Alumnes_C!$N$3:$N$40,3),Alumnes_C!$N$3:$N$40,0)),"—"),"—")</f>
        <v>Aitor Fernández Bernabé</v>
      </c>
      <c r="D34" s="0" t="n">
        <f aca="false">IFERROR(IF(LARGE(Alumnes_C!$N$3:$N$40,3)&gt;0,LARGE(Alumnes_C!$N$3:$N$40,3),"—"),"—")</f>
        <v>2</v>
      </c>
      <c r="E34" s="0" t="str">
        <f aca="false">IFERROR(IF(SMALL(Alumnes_C!$N$3:$N$40,3)&lt;0,INDEX(Alumnes_C!$A$3:$A$40,MATCH(SMALL(Alumnes_C!$N$3:$N$40,3),Alumnes_C!$N$3:$N$40,0)),"—"),"—")</f>
        <v>Oussama El Idrissi</v>
      </c>
      <c r="F34" s="0" t="n">
        <f aca="false">IFERROR(IF(SMALL(Alumnes_C!$N$3:$N$40,3)&lt;0,SMALL(Alumnes_C!$N$3:$N$40,3),"—"),"—")</f>
        <v>-1</v>
      </c>
    </row>
    <row r="35" customFormat="false" ht="15.75" hidden="false" customHeight="false" outlineLevel="0" collapsed="false">
      <c r="A35" s="0" t="s">
        <v>14</v>
      </c>
      <c r="B35" s="0" t="n">
        <v>1</v>
      </c>
      <c r="C35" s="0" t="str">
        <f aca="false">IFERROR(IF(LARGE(Alumnes_D!$N$3:$N$40,1)&gt;0,INDEX(Alumnes_D!$A$3:$A$40,MATCH(LARGE(Alumnes_D!$N$3:$N$40,1),Alumnes_D!$N$3:$N$40,0)),"—"),"—")</f>
        <v>Ibai Aroca Hinojo</v>
      </c>
      <c r="D35" s="0" t="n">
        <f aca="false">IFERROR(IF(LARGE(Alumnes_D!$N$3:$N$40,1)&gt;0,LARGE(Alumnes_D!$N$3:$N$40,1),"—"),"—")</f>
        <v>3</v>
      </c>
      <c r="E35" s="0" t="str">
        <f aca="false">IFERROR(IF(SMALL(Alumnes_D!$N$3:$N$40,1)&lt;0,INDEX(Alumnes_D!$A$3:$A$40,MATCH(SMALL(Alumnes_D!$N$3:$N$40,1),Alumnes_D!$N$3:$N$40,0)),"—"),"—")</f>
        <v>Aleix Morante Polo</v>
      </c>
      <c r="F35" s="0" t="n">
        <f aca="false">IFERROR(IF(SMALL(Alumnes_D!$N$3:$N$40,1)&lt;0,SMALL(Alumnes_D!$N$3:$N$40,1),"—"),"—")</f>
        <v>-3</v>
      </c>
    </row>
    <row r="36" customFormat="false" ht="15.75" hidden="false" customHeight="false" outlineLevel="0" collapsed="false">
      <c r="B36" s="0" t="n">
        <v>2</v>
      </c>
      <c r="C36" s="0" t="str">
        <f aca="false">IFERROR(IF(LARGE(Alumnes_D!$N$3:$N$40,2)&gt;0,INDEX(Alumnes_D!$A$3:$A$40,MATCH(LARGE(Alumnes_D!$N$3:$N$40,2),Alumnes_D!$N$3:$N$40,0)),"—"),"—")</f>
        <v>Ibai Aroca Hinojo</v>
      </c>
      <c r="D36" s="0" t="n">
        <f aca="false">IFERROR(IF(LARGE(Alumnes_D!$N$3:$N$40,2)&gt;0,LARGE(Alumnes_D!$N$3:$N$40,2),"—"),"—")</f>
        <v>3</v>
      </c>
      <c r="E36" s="0" t="str">
        <f aca="false">IFERROR(IF(SMALL(Alumnes_D!$N$3:$N$40,2)&lt;0,INDEX(Alumnes_D!$A$3:$A$40,MATCH(SMALL(Alumnes_D!$N$3:$N$40,2),Alumnes_D!$N$3:$N$40,0)),"—"),"—")</f>
        <v>Adam Bakal El Abbassi</v>
      </c>
      <c r="F36" s="0" t="n">
        <f aca="false">IFERROR(IF(SMALL(Alumnes_D!$N$3:$N$40,2)&lt;0,SMALL(Alumnes_D!$N$3:$N$40,2),"—"),"—")</f>
        <v>-2</v>
      </c>
    </row>
    <row r="37" customFormat="false" ht="15.75" hidden="false" customHeight="false" outlineLevel="0" collapsed="false">
      <c r="B37" s="0" t="n">
        <v>3</v>
      </c>
      <c r="C37" s="0" t="str">
        <f aca="false">IFERROR(IF(LARGE(Alumnes_D!$N$3:$N$40,3)&gt;0,INDEX(Alumnes_D!$A$3:$A$40,MATCH(LARGE(Alumnes_D!$N$3:$N$40,3),Alumnes_D!$N$3:$N$40,0)),"—"),"—")</f>
        <v>Raúl Pérez Barba</v>
      </c>
      <c r="D37" s="0" t="n">
        <f aca="false">IFERROR(IF(LARGE(Alumnes_D!$N$3:$N$40,3)&gt;0,LARGE(Alumnes_D!$N$3:$N$40,3),"—"),"—")</f>
        <v>2</v>
      </c>
      <c r="E37" s="0" t="str">
        <f aca="false">IFERROR(IF(SMALL(Alumnes_D!$N$3:$N$40,3)&lt;0,INDEX(Alumnes_D!$A$3:$A$40,MATCH(SMALL(Alumnes_D!$N$3:$N$40,3),Alumnes_D!$N$3:$N$40,0)),"—"),"—")</f>
        <v>Unai Zarzuelo Bernardino</v>
      </c>
      <c r="F37" s="0" t="n">
        <f aca="false">IFERROR(IF(SMALL(Alumnes_D!$N$3:$N$40,3)&lt;0,SMALL(Alumnes_D!$N$3:$N$40,3),"—"),"—")</f>
        <v>-1</v>
      </c>
    </row>
    <row r="39" customFormat="false" ht="15.75" hidden="false" customHeight="false" outlineLevel="0" collapsed="false">
      <c r="A39" s="1" t="s">
        <v>30</v>
      </c>
      <c r="B39" s="1"/>
      <c r="C39" s="1"/>
      <c r="D39" s="1"/>
      <c r="E39" s="1"/>
      <c r="F39" s="1"/>
      <c r="G39" s="1"/>
      <c r="H39" s="1"/>
    </row>
    <row r="40" customFormat="false" ht="15.75" hidden="false" customHeight="false" outlineLevel="0" collapsed="false">
      <c r="A40" s="2" t="s">
        <v>31</v>
      </c>
      <c r="B40" s="2"/>
      <c r="C40" s="2"/>
      <c r="D40" s="2"/>
      <c r="E40" s="2"/>
      <c r="F40" s="1" t="n">
        <f aca="false">IFERROR((SUMIF(SMIX2AT!$I$2:$I$200,"&lt;&gt;",SMIX2AT!$I$2:$I$200)+SUMIF(SMIX2BT!$I$2:$I$200,"&lt;&gt;",SMIX2BT!$I$2:$I$200)+SUMIF(SMIX2CT!$I$2:$I$200,"&lt;&gt;",SMIX2CT!$I$2:$I$200)+SUMIF(SMIX2DT!$I$2:$I$200,"&lt;&gt;",SMIX2DT!$I$2:$I$200))/(MAX(0,COUNTA(SMIX2AT!$A:$A)-1)+MAX(0,COUNTA(SMIX2BT!$A:$A)-1)+MAX(0,COUNTA(SMIX2CT!$A:$A)-1)+MAX(0,COUNTA(SMIX2DT!$A:$A)-1)),"Sense dades")</f>
        <v>0.2</v>
      </c>
      <c r="G40" s="1"/>
      <c r="H40" s="1"/>
    </row>
    <row r="41" customFormat="false" ht="15.75" hidden="false" customHeight="false" outlineLevel="0" collapsed="false">
      <c r="A41" s="2" t="s">
        <v>32</v>
      </c>
      <c r="B41" s="2"/>
      <c r="C41" s="2"/>
      <c r="D41" s="2"/>
      <c r="E41" s="2"/>
      <c r="F41" s="1" t="n">
        <f aca="false">COUNTIF(SMIX2AT!$I$2:$I$200,"&gt;"&amp;0)+COUNTIF(SMIX2BT!$I$2:$I$200,"&gt;"&amp;0)+COUNTIF(SMIX2CT!$I$2:$I$200,"&gt;"&amp;0)+COUNTIF(SMIX2DT!$I$2:$I$200,"&gt;"&amp;0)</f>
        <v>19</v>
      </c>
      <c r="G41" s="1"/>
      <c r="H41" s="1"/>
    </row>
    <row r="42" customFormat="false" ht="15.75" hidden="false" customHeight="false" outlineLevel="0" collapsed="false">
      <c r="A42" s="2" t="s">
        <v>33</v>
      </c>
      <c r="B42" s="2"/>
      <c r="C42" s="2"/>
      <c r="D42" s="2"/>
      <c r="E42" s="2"/>
      <c r="F42" s="1" t="n">
        <f aca="false">COUNTIF(SMIX2AT!$I$2:$I$200,"&lt;"&amp;0)+COUNTIF(SMIX2BT!$I$2:$I$200,"&lt;"&amp;0)+COUNTIF(SMIX2CT!$I$2:$I$200,"&lt;"&amp;0)+COUNTIF(SMIX2DT!$I$2:$I$200,"&lt;"&amp;0)</f>
        <v>21</v>
      </c>
      <c r="G42" s="1"/>
      <c r="H42" s="1"/>
    </row>
    <row r="43" customFormat="false" ht="15.75" hidden="false" customHeight="false" outlineLevel="0" collapsed="false">
      <c r="A43" s="2" t="s">
        <v>34</v>
      </c>
      <c r="B43" s="2"/>
      <c r="C43" s="2"/>
      <c r="D43" s="2"/>
      <c r="E43" s="2"/>
      <c r="F43" s="1" t="n">
        <f aca="false">COUNTIF(SMIX2CT!$I$2:$I$200,0)+COUNTIF(SMIX2DT!$I$2:$I$200,0)+COUNTIF(SMIX2AT!$I$2:$I$200,0)+COUNTIF(SMIX2BT!$I$2:$I$200,0)</f>
        <v>756</v>
      </c>
      <c r="G43" s="1"/>
      <c r="H43" s="1"/>
    </row>
    <row r="44" customFormat="false" ht="15.75" hidden="false" customHeight="false" outlineLevel="0" collapsed="false">
      <c r="A44" s="2" t="s">
        <v>35</v>
      </c>
      <c r="B44" s="2"/>
      <c r="C44" s="2"/>
      <c r="D44" s="2"/>
      <c r="E44" s="2"/>
      <c r="F44" s="1" t="n">
        <f aca="false">COUNTIF(Alumnes_A!$N$3:$N$40,"&gt;"&amp;0)+COUNTIF(Alumnes_B!$N$3:$N$40,"&gt;"&amp;0)+COUNTIF(Alumnes_C!$N$3:$N$40,"&gt;"&amp;0)+COUNTIF(Alumnes_D!$N$3:$N$40,"&gt;"&amp;0)</f>
        <v>15</v>
      </c>
      <c r="G44" s="1"/>
      <c r="H44" s="1"/>
    </row>
    <row r="45" customFormat="false" ht="15.75" hidden="false" customHeight="false" outlineLevel="0" collapsed="false">
      <c r="A45" s="2" t="s">
        <v>36</v>
      </c>
      <c r="B45" s="2"/>
      <c r="C45" s="2"/>
      <c r="D45" s="2"/>
      <c r="E45" s="2"/>
      <c r="F45" s="1" t="n">
        <f aca="false">COUNTIF(Alumnes_A!$N$3:$N$40,"&lt;"&amp;0)+COUNTIF(Alumnes_B!$N$3:$N$40,"&lt;"&amp;0)+COUNTIF(Alumnes_C!$N$3:$N$40,"&lt;"&amp;0)+COUNTIF(Alumnes_D!$N$3:$N$40,"&lt;"&amp;0)</f>
        <v>12</v>
      </c>
      <c r="G45" s="1"/>
      <c r="H45" s="1"/>
    </row>
    <row r="46" customFormat="false" ht="15.75" hidden="false" customHeight="false" outlineLevel="0" collapsed="false">
      <c r="A46" s="2" t="s">
        <v>37</v>
      </c>
      <c r="B46" s="2"/>
      <c r="C46" s="2"/>
      <c r="D46" s="2"/>
      <c r="E46" s="2"/>
      <c r="F46" s="1" t="n">
        <f aca="false">COUNTIFS(Alumnes_A!$O$3:$O$40,0,Alumnes_A!$B$3:$B$40,"&lt;&gt;")+COUNTIFS(Alumnes_B!$O$3:$O$40,0,Alumnes_B!$B$3:$B$40,"&lt;&gt;")+COUNTIFS(Alumnes_C!$O$3:$O$40,0,Alumnes_C!$B$3:$B$40,"&lt;&gt;")+COUNTIFS(Alumnes_D!$O$3:$O$40,0,Alumnes_D!$B$3:$B$40,"&lt;&gt;")</f>
        <v>30</v>
      </c>
      <c r="G46" s="1"/>
      <c r="H46" s="1"/>
    </row>
    <row r="48" customFormat="false" ht="39.75" hidden="false" customHeight="true" outlineLevel="0" collapsed="false">
      <c r="A48" s="1" t="s">
        <v>38</v>
      </c>
      <c r="B48" s="1"/>
      <c r="C48" s="1"/>
      <c r="D48" s="1"/>
      <c r="E48" s="1"/>
      <c r="F48" s="1"/>
      <c r="G48" s="1"/>
      <c r="H48" s="1"/>
    </row>
  </sheetData>
  <mergeCells count="25">
    <mergeCell ref="A1:H1"/>
    <mergeCell ref="A4:H4"/>
    <mergeCell ref="A12:H12"/>
    <mergeCell ref="A13:H13"/>
    <mergeCell ref="A21:C21"/>
    <mergeCell ref="D21:H21"/>
    <mergeCell ref="A22:C22"/>
    <mergeCell ref="D22:H22"/>
    <mergeCell ref="A24:H24"/>
    <mergeCell ref="A39:H39"/>
    <mergeCell ref="A40:E40"/>
    <mergeCell ref="F40:H40"/>
    <mergeCell ref="A41:E41"/>
    <mergeCell ref="F41:H41"/>
    <mergeCell ref="A42:E42"/>
    <mergeCell ref="F42:H42"/>
    <mergeCell ref="A43:E43"/>
    <mergeCell ref="F43:H43"/>
    <mergeCell ref="A44:E44"/>
    <mergeCell ref="F44:H44"/>
    <mergeCell ref="A45:E45"/>
    <mergeCell ref="F45:H45"/>
    <mergeCell ref="A46:E46"/>
    <mergeCell ref="F46:H46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18.88"/>
    <col collapsed="false" customWidth="true" hidden="false" outlineLevel="0" max="4" min="4" style="0" width="27.25"/>
    <col collapsed="false" customWidth="true" hidden="false" outlineLevel="0" max="5" min="5" style="0" width="31.38"/>
    <col collapsed="false" customWidth="true" hidden="false" outlineLevel="0" max="6" min="6" style="0" width="53.88"/>
    <col collapsed="false" customWidth="true" hidden="false" outlineLevel="0" max="7" min="7" style="0" width="37.13"/>
    <col collapsed="false" customWidth="true" hidden="false" outlineLevel="0" max="14" min="8" style="0" width="18.88"/>
  </cols>
  <sheetData>
    <row r="1" customFormat="false" ht="22.5" hidden="false" customHeight="true" outlineLevel="0" collapsed="false">
      <c r="A1" s="0" t="s">
        <v>39</v>
      </c>
      <c r="B1" s="0" t="s">
        <v>40</v>
      </c>
      <c r="C1" s="0" t="s">
        <v>18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</row>
    <row r="2" customFormat="false" ht="15.75" hidden="false" customHeight="false" outlineLevel="0" collapsed="false">
      <c r="I2" s="0" t="n">
        <f aca="false">IF(F2="",0,IFERROR(VALUE(LEFT(TRIM(F2),FIND(" ",TRIM(F2))-1)),0))</f>
        <v>0</v>
      </c>
    </row>
    <row r="3" customFormat="false" ht="15.75" hidden="false" customHeight="false" outlineLevel="0" collapsed="false">
      <c r="I3" s="0" t="n">
        <f aca="false">IF(F3="",0,IFERROR(VALUE(LEFT(TRIM(F3),FIND(" ",TRIM(F3))-1)),0))</f>
        <v>0</v>
      </c>
    </row>
    <row r="4" customFormat="false" ht="15.75" hidden="false" customHeight="false" outlineLevel="0" collapsed="false">
      <c r="I4" s="0" t="n">
        <f aca="false">IF(F4="",0,IFERROR(VALUE(LEFT(TRIM(F4),FIND(" ",TRIM(F4))-1)),0))</f>
        <v>0</v>
      </c>
    </row>
    <row r="5" customFormat="false" ht="15.75" hidden="false" customHeight="false" outlineLevel="0" collapsed="false">
      <c r="I5" s="0" t="n">
        <f aca="false">IF(F5="",0,IFERROR(VALUE(LEFT(TRIM(F5),FIND(" ",TRIM(F5))-1)),0))</f>
        <v>0</v>
      </c>
    </row>
    <row r="6" customFormat="false" ht="15.75" hidden="false" customHeight="false" outlineLevel="0" collapsed="false">
      <c r="I6" s="0" t="n">
        <f aca="false">IF(F6="",0,IFERROR(VALUE(LEFT(TRIM(F6),FIND(" ",TRIM(F6))-1)),0))</f>
        <v>0</v>
      </c>
    </row>
    <row r="7" customFormat="false" ht="15.75" hidden="false" customHeight="false" outlineLevel="0" collapsed="false">
      <c r="I7" s="0" t="n">
        <f aca="false">IF(F7="",0,IFERROR(VALUE(LEFT(TRIM(F7),FIND(" ",TRIM(F7))-1)),0))</f>
        <v>0</v>
      </c>
    </row>
    <row r="8" customFormat="false" ht="15.75" hidden="false" customHeight="false" outlineLevel="0" collapsed="false">
      <c r="I8" s="0" t="n">
        <f aca="false">IF(F8="",0,IFERROR(VALUE(LEFT(TRIM(F8),FIND(" ",TRIM(F8))-1)),0))</f>
        <v>0</v>
      </c>
    </row>
    <row r="9" customFormat="false" ht="15.75" hidden="false" customHeight="false" outlineLevel="0" collapsed="false">
      <c r="I9" s="0" t="n">
        <f aca="false">IF(F9="",0,IFERROR(VALUE(LEFT(TRIM(F9),FIND(" ",TRIM(F9))-1)),0))</f>
        <v>0</v>
      </c>
    </row>
    <row r="10" customFormat="false" ht="15.75" hidden="false" customHeight="false" outlineLevel="0" collapsed="false">
      <c r="I10" s="0" t="n">
        <f aca="false">IF(F10="",0,IFERROR(VALUE(LEFT(TRIM(F10),FIND(" ",TRIM(F10))-1)),0))</f>
        <v>0</v>
      </c>
    </row>
    <row r="11" customFormat="false" ht="15.75" hidden="false" customHeight="false" outlineLevel="0" collapsed="false">
      <c r="I11" s="0" t="n">
        <f aca="false">IF(F11="",0,IFERROR(VALUE(LEFT(TRIM(F11),FIND(" ",TRIM(F11))-1)),0))</f>
        <v>0</v>
      </c>
    </row>
    <row r="12" customFormat="false" ht="15.75" hidden="false" customHeight="false" outlineLevel="0" collapsed="false">
      <c r="I12" s="0" t="n">
        <f aca="false">IF(F12="",0,IFERROR(VALUE(LEFT(TRIM(F12),FIND(" ",TRIM(F12))-1)),0))</f>
        <v>0</v>
      </c>
    </row>
    <row r="13" customFormat="false" ht="15.75" hidden="false" customHeight="false" outlineLevel="0" collapsed="false">
      <c r="I13" s="0" t="n">
        <f aca="false">IF(F13="",0,IFERROR(VALUE(LEFT(TRIM(F13),FIND(" ",TRIM(F13))-1)),0))</f>
        <v>0</v>
      </c>
    </row>
    <row r="14" customFormat="false" ht="15.75" hidden="false" customHeight="false" outlineLevel="0" collapsed="false">
      <c r="I14" s="0" t="n">
        <f aca="false">IF(F14="",0,IFERROR(VALUE(LEFT(TRIM(F14),FIND(" ",TRIM(F14))-1)),0))</f>
        <v>0</v>
      </c>
    </row>
    <row r="15" customFormat="false" ht="15.75" hidden="false" customHeight="false" outlineLevel="0" collapsed="false">
      <c r="I15" s="0" t="n">
        <f aca="false">IF(F15="",0,IFERROR(VALUE(LEFT(TRIM(F15),FIND(" ",TRIM(F15))-1)),0))</f>
        <v>0</v>
      </c>
    </row>
    <row r="16" customFormat="false" ht="15.75" hidden="false" customHeight="false" outlineLevel="0" collapsed="false">
      <c r="I16" s="0" t="n">
        <f aca="false">IF(F16="",0,IFERROR(VALUE(LEFT(TRIM(F16),FIND(" ",TRIM(F16))-1)),0))</f>
        <v>0</v>
      </c>
    </row>
    <row r="17" customFormat="false" ht="15.75" hidden="false" customHeight="false" outlineLevel="0" collapsed="false">
      <c r="I17" s="0" t="n">
        <f aca="false">IF(F17="",0,IFERROR(VALUE(LEFT(TRIM(F17),FIND(" ",TRIM(F17))-1)),0))</f>
        <v>0</v>
      </c>
    </row>
    <row r="18" customFormat="false" ht="15.75" hidden="false" customHeight="false" outlineLevel="0" collapsed="false">
      <c r="I18" s="0" t="n">
        <f aca="false">IF(F18="",0,IFERROR(VALUE(LEFT(TRIM(F18),FIND(" ",TRIM(F18))-1)),0))</f>
        <v>0</v>
      </c>
    </row>
    <row r="19" customFormat="false" ht="15.75" hidden="false" customHeight="false" outlineLevel="0" collapsed="false">
      <c r="I19" s="0" t="n">
        <f aca="false">IF(F19="",0,IFERROR(VALUE(LEFT(TRIM(F19),FIND(" ",TRIM(F19))-1)),0))</f>
        <v>0</v>
      </c>
    </row>
    <row r="20" customFormat="false" ht="15.75" hidden="false" customHeight="false" outlineLevel="0" collapsed="false">
      <c r="I20" s="0" t="n">
        <f aca="false">IF(F20="",0,IFERROR(VALUE(LEFT(TRIM(F20),FIND(" ",TRIM(F20))-1)),0))</f>
        <v>0</v>
      </c>
    </row>
    <row r="21" customFormat="false" ht="15.75" hidden="false" customHeight="false" outlineLevel="0" collapsed="false">
      <c r="I21" s="0" t="n">
        <f aca="false">IF(F21="",0,IFERROR(VALUE(LEFT(TRIM(F21),FIND(" ",TRIM(F21))-1)),0))</f>
        <v>0</v>
      </c>
    </row>
    <row r="22" customFormat="false" ht="15.75" hidden="false" customHeight="false" outlineLevel="0" collapsed="false">
      <c r="I22" s="0" t="n">
        <f aca="false">IF(F22="",0,IFERROR(VALUE(LEFT(TRIM(F22),FIND(" ",TRIM(F22))-1)),0))</f>
        <v>0</v>
      </c>
    </row>
    <row r="23" customFormat="false" ht="15.75" hidden="false" customHeight="false" outlineLevel="0" collapsed="false">
      <c r="I23" s="0" t="n">
        <f aca="false">IF(F23="",0,IFERROR(VALUE(LEFT(TRIM(F23),FIND(" ",TRIM(F23))-1)),0))</f>
        <v>0</v>
      </c>
    </row>
    <row r="24" customFormat="false" ht="15.75" hidden="false" customHeight="false" outlineLevel="0" collapsed="false">
      <c r="I24" s="0" t="n">
        <f aca="false">IF(F24="",0,IFERROR(VALUE(LEFT(TRIM(F24),FIND(" ",TRIM(F24))-1)),0))</f>
        <v>0</v>
      </c>
    </row>
    <row r="25" customFormat="false" ht="15.75" hidden="false" customHeight="false" outlineLevel="0" collapsed="false">
      <c r="I25" s="0" t="n">
        <f aca="false">IF(F25="",0,IFERROR(VALUE(LEFT(TRIM(F25),FIND(" ",TRIM(F25))-1)),0))</f>
        <v>0</v>
      </c>
    </row>
    <row r="26" customFormat="false" ht="15.75" hidden="false" customHeight="false" outlineLevel="0" collapsed="false">
      <c r="I26" s="0" t="n">
        <f aca="false">IF(F26="",0,IFERROR(VALUE(LEFT(TRIM(F26),FIND(" ",TRIM(F26))-1)),0))</f>
        <v>0</v>
      </c>
    </row>
    <row r="27" customFormat="false" ht="15.75" hidden="false" customHeight="false" outlineLevel="0" collapsed="false">
      <c r="I27" s="0" t="n">
        <f aca="false">IF(F27="",0,IFERROR(VALUE(LEFT(TRIM(F27),FIND(" ",TRIM(F27))-1)),0))</f>
        <v>0</v>
      </c>
    </row>
    <row r="28" customFormat="false" ht="15.75" hidden="false" customHeight="false" outlineLevel="0" collapsed="false">
      <c r="I28" s="0" t="n">
        <f aca="false">IF(F28="",0,IFERROR(VALUE(LEFT(TRIM(F28),FIND(" ",TRIM(F28))-1)),0))</f>
        <v>0</v>
      </c>
    </row>
    <row r="29" customFormat="false" ht="15.75" hidden="false" customHeight="false" outlineLevel="0" collapsed="false">
      <c r="I29" s="0" t="n">
        <f aca="false">IF(F29="",0,IFERROR(VALUE(LEFT(TRIM(F29),FIND(" ",TRIM(F29))-1)),0))</f>
        <v>0</v>
      </c>
    </row>
    <row r="30" customFormat="false" ht="15.75" hidden="false" customHeight="false" outlineLevel="0" collapsed="false">
      <c r="I30" s="0" t="n">
        <f aca="false">IF(F30="",0,IFERROR(VALUE(LEFT(TRIM(F30),FIND(" ",TRIM(F30))-1)),0))</f>
        <v>0</v>
      </c>
    </row>
    <row r="31" customFormat="false" ht="15.75" hidden="false" customHeight="false" outlineLevel="0" collapsed="false">
      <c r="I31" s="0" t="n">
        <f aca="false">IF(F31="",0,IFERROR(VALUE(LEFT(TRIM(F31),FIND(" ",TRIM(F31))-1)),0))</f>
        <v>0</v>
      </c>
    </row>
    <row r="32" customFormat="false" ht="15.75" hidden="false" customHeight="false" outlineLevel="0" collapsed="false">
      <c r="I32" s="0" t="n">
        <f aca="false">IF(F32="",0,IFERROR(VALUE(LEFT(TRIM(F32),FIND(" ",TRIM(F32))-1)),0))</f>
        <v>0</v>
      </c>
    </row>
    <row r="33" customFormat="false" ht="15.75" hidden="false" customHeight="false" outlineLevel="0" collapsed="false">
      <c r="I33" s="0" t="n">
        <f aca="false">IF(F33="",0,IFERROR(VALUE(LEFT(TRIM(F33),FIND(" ",TRIM(F33))-1)),0))</f>
        <v>0</v>
      </c>
    </row>
    <row r="34" customFormat="false" ht="15.75" hidden="false" customHeight="false" outlineLevel="0" collapsed="false">
      <c r="I34" s="0" t="n">
        <f aca="false">IF(F34="",0,IFERROR(VALUE(LEFT(TRIM(F34),FIND(" ",TRIM(F34))-1)),0))</f>
        <v>0</v>
      </c>
    </row>
    <row r="35" customFormat="false" ht="15.75" hidden="false" customHeight="false" outlineLevel="0" collapsed="false">
      <c r="I35" s="0" t="n">
        <f aca="false">IF(F35="",0,IFERROR(VALUE(LEFT(TRIM(F35),FIND(" ",TRIM(F35))-1)),0))</f>
        <v>0</v>
      </c>
    </row>
    <row r="36" customFormat="false" ht="15.75" hidden="false" customHeight="false" outlineLevel="0" collapsed="false">
      <c r="I36" s="0" t="n">
        <f aca="false">IF(F36="",0,IFERROR(VALUE(LEFT(TRIM(F36),FIND(" ",TRIM(F36))-1)),0))</f>
        <v>0</v>
      </c>
    </row>
    <row r="37" customFormat="false" ht="15.75" hidden="false" customHeight="false" outlineLevel="0" collapsed="false">
      <c r="I37" s="0" t="n">
        <f aca="false">IF(F37="",0,IFERROR(VALUE(LEFT(TRIM(F37),FIND(" ",TRIM(F37))-1)),0))</f>
        <v>0</v>
      </c>
    </row>
    <row r="38" customFormat="false" ht="15.75" hidden="false" customHeight="false" outlineLevel="0" collapsed="false">
      <c r="I38" s="0" t="n">
        <f aca="false">IF(F38="",0,IFERROR(VALUE(LEFT(TRIM(F38),FIND(" ",TRIM(F38))-1)),0))</f>
        <v>0</v>
      </c>
    </row>
    <row r="39" customFormat="false" ht="15.75" hidden="false" customHeight="false" outlineLevel="0" collapsed="false">
      <c r="I39" s="0" t="n">
        <f aca="false">IF(F39="",0,IFERROR(VALUE(LEFT(TRIM(F39),FIND(" ",TRIM(F39))-1)),0))</f>
        <v>0</v>
      </c>
    </row>
    <row r="40" customFormat="false" ht="15.75" hidden="false" customHeight="false" outlineLevel="0" collapsed="false">
      <c r="I40" s="0" t="n">
        <f aca="false">IF(F40="",0,IFERROR(VALUE(LEFT(TRIM(F40),FIND(" ",TRIM(F40))-1)),0))</f>
        <v>0</v>
      </c>
    </row>
    <row r="41" customFormat="false" ht="15.75" hidden="false" customHeight="false" outlineLevel="0" collapsed="false">
      <c r="I41" s="0" t="n">
        <f aca="false">IF(F41="",0,IFERROR(VALUE(LEFT(TRIM(F41),FIND(" ",TRIM(F41))-1)),0))</f>
        <v>0</v>
      </c>
    </row>
    <row r="42" customFormat="false" ht="15.75" hidden="false" customHeight="false" outlineLevel="0" collapsed="false">
      <c r="I42" s="0" t="n">
        <f aca="false">IF(F42="",0,IFERROR(VALUE(LEFT(TRIM(F42),FIND(" ",TRIM(F42))-1)),0))</f>
        <v>0</v>
      </c>
    </row>
    <row r="43" customFormat="false" ht="15.75" hidden="false" customHeight="false" outlineLevel="0" collapsed="false">
      <c r="I43" s="0" t="n">
        <f aca="false">IF(F43="",0,IFERROR(VALUE(LEFT(TRIM(F43),FIND(" ",TRIM(F43))-1)),0))</f>
        <v>0</v>
      </c>
    </row>
    <row r="44" customFormat="false" ht="15.75" hidden="false" customHeight="false" outlineLevel="0" collapsed="false">
      <c r="I44" s="0" t="n">
        <f aca="false">IF(F44="",0,IFERROR(VALUE(LEFT(TRIM(F44),FIND(" ",TRIM(F44))-1)),0))</f>
        <v>0</v>
      </c>
    </row>
    <row r="45" customFormat="false" ht="15.75" hidden="false" customHeight="false" outlineLevel="0" collapsed="false">
      <c r="I45" s="0" t="n">
        <f aca="false">IF(F45="",0,IFERROR(VALUE(LEFT(TRIM(F45),FIND(" ",TRIM(F45))-1)),0))</f>
        <v>0</v>
      </c>
    </row>
    <row r="46" customFormat="false" ht="15.75" hidden="false" customHeight="false" outlineLevel="0" collapsed="false">
      <c r="I46" s="0" t="n">
        <f aca="false">IF(F46="",0,IFERROR(VALUE(LEFT(TRIM(F46),FIND(" ",TRIM(F46))-1)),0))</f>
        <v>0</v>
      </c>
    </row>
    <row r="47" customFormat="false" ht="15.75" hidden="false" customHeight="false" outlineLevel="0" collapsed="false">
      <c r="I47" s="0" t="n">
        <f aca="false">IF(F47="",0,IFERROR(VALUE(LEFT(TRIM(F47),FIND(" ",TRIM(F47))-1)),0))</f>
        <v>0</v>
      </c>
    </row>
    <row r="48" customFormat="false" ht="15.75" hidden="false" customHeight="false" outlineLevel="0" collapsed="false">
      <c r="I48" s="0" t="n">
        <f aca="false">IF(F48="",0,IFERROR(VALUE(LEFT(TRIM(F48),FIND(" ",TRIM(F48))-1)),0))</f>
        <v>0</v>
      </c>
    </row>
    <row r="49" customFormat="false" ht="15.75" hidden="false" customHeight="false" outlineLevel="0" collapsed="false">
      <c r="I49" s="0" t="n">
        <f aca="false">IF(F49="",0,IFERROR(VALUE(LEFT(TRIM(F49),FIND(" ",TRIM(F49))-1)),0))</f>
        <v>0</v>
      </c>
    </row>
    <row r="50" customFormat="false" ht="15.75" hidden="false" customHeight="false" outlineLevel="0" collapsed="false">
      <c r="I50" s="0" t="n">
        <f aca="false">IF(F50="",0,IFERROR(VALUE(LEFT(TRIM(F50),FIND(" ",TRIM(F50))-1)),0))</f>
        <v>0</v>
      </c>
    </row>
    <row r="51" customFormat="false" ht="15.75" hidden="false" customHeight="false" outlineLevel="0" collapsed="false">
      <c r="I51" s="0" t="n">
        <f aca="false">IF(F51="",0,IFERROR(VALUE(LEFT(TRIM(F51),FIND(" ",TRIM(F51))-1)),0))</f>
        <v>0</v>
      </c>
    </row>
    <row r="52" customFormat="false" ht="15.75" hidden="false" customHeight="false" outlineLevel="0" collapsed="false">
      <c r="I52" s="0" t="n">
        <f aca="false">IF(F52="",0,IFERROR(VALUE(LEFT(TRIM(F52),FIND(" ",TRIM(F52))-1)),0))</f>
        <v>0</v>
      </c>
    </row>
    <row r="53" customFormat="false" ht="15.75" hidden="false" customHeight="false" outlineLevel="0" collapsed="false">
      <c r="I53" s="0" t="n">
        <f aca="false">IF(F53="",0,IFERROR(VALUE(LEFT(TRIM(F53),FIND(" ",TRIM(F53))-1)),0))</f>
        <v>0</v>
      </c>
    </row>
    <row r="54" customFormat="false" ht="15.75" hidden="false" customHeight="false" outlineLevel="0" collapsed="false">
      <c r="I54" s="0" t="n">
        <f aca="false">IF(F54="",0,IFERROR(VALUE(LEFT(TRIM(F54),FIND(" ",TRIM(F54))-1)),0))</f>
        <v>0</v>
      </c>
    </row>
    <row r="55" customFormat="false" ht="15.75" hidden="false" customHeight="false" outlineLevel="0" collapsed="false">
      <c r="I55" s="0" t="n">
        <f aca="false">IF(F55="",0,IFERROR(VALUE(LEFT(TRIM(F55),FIND(" ",TRIM(F55))-1)),0))</f>
        <v>0</v>
      </c>
    </row>
    <row r="56" customFormat="false" ht="15.75" hidden="false" customHeight="false" outlineLevel="0" collapsed="false">
      <c r="I56" s="0" t="n">
        <f aca="false">IF(F56="",0,IFERROR(VALUE(LEFT(TRIM(F56),FIND(" ",TRIM(F56))-1)),0))</f>
        <v>0</v>
      </c>
    </row>
    <row r="57" customFormat="false" ht="15.75" hidden="false" customHeight="false" outlineLevel="0" collapsed="false">
      <c r="I57" s="0" t="n">
        <f aca="false">IF(F57="",0,IFERROR(VALUE(LEFT(TRIM(F57),FIND(" ",TRIM(F57))-1)),0))</f>
        <v>0</v>
      </c>
    </row>
    <row r="58" customFormat="false" ht="15.75" hidden="false" customHeight="false" outlineLevel="0" collapsed="false">
      <c r="I58" s="0" t="n">
        <f aca="false">IF(F58="",0,IFERROR(VALUE(LEFT(TRIM(F58),FIND(" ",TRIM(F58))-1)),0))</f>
        <v>0</v>
      </c>
    </row>
    <row r="59" customFormat="false" ht="15.75" hidden="false" customHeight="false" outlineLevel="0" collapsed="false">
      <c r="I59" s="0" t="n">
        <f aca="false">IF(F59="",0,IFERROR(VALUE(LEFT(TRIM(F59),FIND(" ",TRIM(F59))-1)),0))</f>
        <v>0</v>
      </c>
    </row>
    <row r="60" customFormat="false" ht="15.75" hidden="false" customHeight="false" outlineLevel="0" collapsed="false">
      <c r="I60" s="0" t="n">
        <f aca="false">IF(F60="",0,IFERROR(VALUE(LEFT(TRIM(F60),FIND(" ",TRIM(F60))-1)),0))</f>
        <v>0</v>
      </c>
    </row>
    <row r="61" customFormat="false" ht="15.75" hidden="false" customHeight="false" outlineLevel="0" collapsed="false">
      <c r="I61" s="0" t="n">
        <f aca="false">IF(F61="",0,IFERROR(VALUE(LEFT(TRIM(F61),FIND(" ",TRIM(F61))-1)),0))</f>
        <v>0</v>
      </c>
    </row>
    <row r="62" customFormat="false" ht="15.75" hidden="false" customHeight="false" outlineLevel="0" collapsed="false">
      <c r="I62" s="0" t="n">
        <f aca="false">IF(F62="",0,IFERROR(VALUE(LEFT(TRIM(F62),FIND(" ",TRIM(F62))-1)),0))</f>
        <v>0</v>
      </c>
    </row>
    <row r="63" customFormat="false" ht="15.75" hidden="false" customHeight="false" outlineLevel="0" collapsed="false">
      <c r="I63" s="0" t="n">
        <f aca="false">IF(F63="",0,IFERROR(VALUE(LEFT(TRIM(F63),FIND(" ",TRIM(F63))-1)),0))</f>
        <v>0</v>
      </c>
    </row>
    <row r="64" customFormat="false" ht="15.75" hidden="false" customHeight="false" outlineLevel="0" collapsed="false">
      <c r="I64" s="0" t="n">
        <f aca="false">IF(F64="",0,IFERROR(VALUE(LEFT(TRIM(F64),FIND(" ",TRIM(F64))-1)),0))</f>
        <v>0</v>
      </c>
    </row>
    <row r="65" customFormat="false" ht="15.75" hidden="false" customHeight="false" outlineLevel="0" collapsed="false">
      <c r="I65" s="0" t="n">
        <f aca="false">IF(F65="",0,IFERROR(VALUE(LEFT(TRIM(F65),FIND(" ",TRIM(F65))-1)),0))</f>
        <v>0</v>
      </c>
    </row>
    <row r="66" customFormat="false" ht="15.75" hidden="false" customHeight="false" outlineLevel="0" collapsed="false">
      <c r="I66" s="0" t="n">
        <f aca="false">IF(F66="",0,IFERROR(VALUE(LEFT(TRIM(F66),FIND(" ",TRIM(F66))-1)),0))</f>
        <v>0</v>
      </c>
    </row>
    <row r="67" customFormat="false" ht="15.75" hidden="false" customHeight="false" outlineLevel="0" collapsed="false">
      <c r="I67" s="0" t="n">
        <f aca="false">IF(F67="",0,IFERROR(VALUE(LEFT(TRIM(F67),FIND(" ",TRIM(F67))-1)),0))</f>
        <v>0</v>
      </c>
    </row>
    <row r="68" customFormat="false" ht="15.75" hidden="false" customHeight="false" outlineLevel="0" collapsed="false">
      <c r="I68" s="0" t="n">
        <f aca="false">IF(F68="",0,IFERROR(VALUE(LEFT(TRIM(F68),FIND(" ",TRIM(F68))-1)),0))</f>
        <v>0</v>
      </c>
    </row>
    <row r="69" customFormat="false" ht="15.75" hidden="false" customHeight="false" outlineLevel="0" collapsed="false">
      <c r="I69" s="0" t="n">
        <f aca="false">IF(F69="",0,IFERROR(VALUE(LEFT(TRIM(F69),FIND(" ",TRIM(F69))-1)),0))</f>
        <v>0</v>
      </c>
    </row>
    <row r="70" customFormat="false" ht="15.75" hidden="false" customHeight="false" outlineLevel="0" collapsed="false">
      <c r="I70" s="0" t="n">
        <f aca="false">IF(F70="",0,IFERROR(VALUE(LEFT(TRIM(F70),FIND(" ",TRIM(F70))-1)),0))</f>
        <v>0</v>
      </c>
    </row>
    <row r="71" customFormat="false" ht="15.75" hidden="false" customHeight="false" outlineLevel="0" collapsed="false">
      <c r="I71" s="0" t="n">
        <f aca="false">IF(F71="",0,IFERROR(VALUE(LEFT(TRIM(F71),FIND(" ",TRIM(F71))-1)),0))</f>
        <v>0</v>
      </c>
    </row>
    <row r="72" customFormat="false" ht="15.75" hidden="false" customHeight="false" outlineLevel="0" collapsed="false">
      <c r="I72" s="0" t="n">
        <f aca="false">IF(F72="",0,IFERROR(VALUE(LEFT(TRIM(F72),FIND(" ",TRIM(F72))-1)),0))</f>
        <v>0</v>
      </c>
    </row>
    <row r="73" customFormat="false" ht="15.75" hidden="false" customHeight="false" outlineLevel="0" collapsed="false">
      <c r="I73" s="0" t="n">
        <f aca="false">IF(F73="",0,IFERROR(VALUE(LEFT(TRIM(F73),FIND(" ",TRIM(F73))-1)),0))</f>
        <v>0</v>
      </c>
    </row>
    <row r="74" customFormat="false" ht="15.75" hidden="false" customHeight="false" outlineLevel="0" collapsed="false">
      <c r="I74" s="0" t="n">
        <f aca="false">IF(F74="",0,IFERROR(VALUE(LEFT(TRIM(F74),FIND(" ",TRIM(F74))-1)),0))</f>
        <v>0</v>
      </c>
    </row>
    <row r="75" customFormat="false" ht="15.75" hidden="false" customHeight="false" outlineLevel="0" collapsed="false">
      <c r="I75" s="0" t="n">
        <f aca="false">IF(F75="",0,IFERROR(VALUE(LEFT(TRIM(F75),FIND(" ",TRIM(F75))-1)),0))</f>
        <v>0</v>
      </c>
    </row>
    <row r="76" customFormat="false" ht="15.75" hidden="false" customHeight="false" outlineLevel="0" collapsed="false">
      <c r="I76" s="0" t="n">
        <f aca="false">IF(F76="",0,IFERROR(VALUE(LEFT(TRIM(F76),FIND(" ",TRIM(F76))-1)),0))</f>
        <v>0</v>
      </c>
    </row>
    <row r="77" customFormat="false" ht="15.75" hidden="false" customHeight="false" outlineLevel="0" collapsed="false">
      <c r="I77" s="0" t="n">
        <f aca="false">IF(F77="",0,IFERROR(VALUE(LEFT(TRIM(F77),FIND(" ",TRIM(F77))-1)),0))</f>
        <v>0</v>
      </c>
    </row>
    <row r="78" customFormat="false" ht="15.75" hidden="false" customHeight="false" outlineLevel="0" collapsed="false">
      <c r="I78" s="0" t="n">
        <f aca="false">IF(F78="",0,IFERROR(VALUE(LEFT(TRIM(F78),FIND(" ",TRIM(F78))-1)),0))</f>
        <v>0</v>
      </c>
    </row>
    <row r="79" customFormat="false" ht="15.75" hidden="false" customHeight="false" outlineLevel="0" collapsed="false">
      <c r="I79" s="0" t="n">
        <f aca="false">IF(F79="",0,IFERROR(VALUE(LEFT(TRIM(F79),FIND(" ",TRIM(F79))-1)),0))</f>
        <v>0</v>
      </c>
    </row>
    <row r="80" customFormat="false" ht="15.75" hidden="false" customHeight="false" outlineLevel="0" collapsed="false">
      <c r="I80" s="0" t="n">
        <f aca="false">IF(F80="",0,IFERROR(VALUE(LEFT(TRIM(F80),FIND(" ",TRIM(F80))-1)),0))</f>
        <v>0</v>
      </c>
    </row>
    <row r="81" customFormat="false" ht="15.75" hidden="false" customHeight="false" outlineLevel="0" collapsed="false">
      <c r="I81" s="0" t="n">
        <f aca="false">IF(F81="",0,IFERROR(VALUE(LEFT(TRIM(F81),FIND(" ",TRIM(F81))-1)),0))</f>
        <v>0</v>
      </c>
    </row>
    <row r="82" customFormat="false" ht="15.75" hidden="false" customHeight="false" outlineLevel="0" collapsed="false">
      <c r="I82" s="0" t="n">
        <f aca="false">IF(F82="",0,IFERROR(VALUE(LEFT(TRIM(F82),FIND(" ",TRIM(F82))-1)),0))</f>
        <v>0</v>
      </c>
    </row>
    <row r="83" customFormat="false" ht="15.75" hidden="false" customHeight="false" outlineLevel="0" collapsed="false">
      <c r="I83" s="0" t="n">
        <f aca="false">IF(F83="",0,IFERROR(VALUE(LEFT(TRIM(F83),FIND(" ",TRIM(F83))-1)),0))</f>
        <v>0</v>
      </c>
    </row>
    <row r="84" customFormat="false" ht="15.75" hidden="false" customHeight="false" outlineLevel="0" collapsed="false">
      <c r="I84" s="0" t="n">
        <f aca="false">IF(F84="",0,IFERROR(VALUE(LEFT(TRIM(F84),FIND(" ",TRIM(F84))-1)),0))</f>
        <v>0</v>
      </c>
    </row>
    <row r="85" customFormat="false" ht="15.75" hidden="false" customHeight="false" outlineLevel="0" collapsed="false">
      <c r="I85" s="0" t="n">
        <f aca="false">IF(F85="",0,IFERROR(VALUE(LEFT(TRIM(F85),FIND(" ",TRIM(F85))-1)),0))</f>
        <v>0</v>
      </c>
    </row>
    <row r="86" customFormat="false" ht="15.75" hidden="false" customHeight="false" outlineLevel="0" collapsed="false">
      <c r="I86" s="0" t="n">
        <f aca="false">IF(F86="",0,IFERROR(VALUE(LEFT(TRIM(F86),FIND(" ",TRIM(F86))-1)),0))</f>
        <v>0</v>
      </c>
    </row>
    <row r="87" customFormat="false" ht="15.75" hidden="false" customHeight="false" outlineLevel="0" collapsed="false">
      <c r="I87" s="0" t="n">
        <f aca="false">IF(F87="",0,IFERROR(VALUE(LEFT(TRIM(F87),FIND(" ",TRIM(F87))-1)),0))</f>
        <v>0</v>
      </c>
    </row>
    <row r="88" customFormat="false" ht="15.75" hidden="false" customHeight="false" outlineLevel="0" collapsed="false">
      <c r="I88" s="0" t="n">
        <f aca="false">IF(F88="",0,IFERROR(VALUE(LEFT(TRIM(F88),FIND(" ",TRIM(F88))-1)),0))</f>
        <v>0</v>
      </c>
    </row>
    <row r="89" customFormat="false" ht="15.75" hidden="false" customHeight="false" outlineLevel="0" collapsed="false">
      <c r="I89" s="0" t="n">
        <f aca="false">IF(F89="",0,IFERROR(VALUE(LEFT(TRIM(F89),FIND(" ",TRIM(F89))-1)),0))</f>
        <v>0</v>
      </c>
    </row>
    <row r="90" customFormat="false" ht="15.75" hidden="false" customHeight="false" outlineLevel="0" collapsed="false">
      <c r="I90" s="0" t="n">
        <f aca="false">IF(F90="",0,IFERROR(VALUE(LEFT(TRIM(F90),FIND(" ",TRIM(F90))-1)),0))</f>
        <v>0</v>
      </c>
    </row>
    <row r="91" customFormat="false" ht="15.75" hidden="false" customHeight="false" outlineLevel="0" collapsed="false">
      <c r="I91" s="0" t="n">
        <f aca="false">IF(F91="",0,IFERROR(VALUE(LEFT(TRIM(F91),FIND(" ",TRIM(F91))-1)),0))</f>
        <v>0</v>
      </c>
    </row>
    <row r="92" customFormat="false" ht="15.75" hidden="false" customHeight="false" outlineLevel="0" collapsed="false">
      <c r="I92" s="0" t="n">
        <f aca="false">IF(F92="",0,IFERROR(VALUE(LEFT(TRIM(F92),FIND(" ",TRIM(F92))-1)),0))</f>
        <v>0</v>
      </c>
    </row>
    <row r="93" customFormat="false" ht="15.75" hidden="false" customHeight="false" outlineLevel="0" collapsed="false">
      <c r="I93" s="0" t="n">
        <f aca="false">IF(F93="",0,IFERROR(VALUE(LEFT(TRIM(F93),FIND(" ",TRIM(F93))-1)),0))</f>
        <v>0</v>
      </c>
    </row>
    <row r="94" customFormat="false" ht="15.75" hidden="false" customHeight="false" outlineLevel="0" collapsed="false">
      <c r="I94" s="0" t="n">
        <f aca="false">IF(F94="",0,IFERROR(VALUE(LEFT(TRIM(F94),FIND(" ",TRIM(F94))-1)),0))</f>
        <v>0</v>
      </c>
    </row>
    <row r="95" customFormat="false" ht="15.75" hidden="false" customHeight="false" outlineLevel="0" collapsed="false">
      <c r="I95" s="0" t="n">
        <f aca="false">IF(F95="",0,IFERROR(VALUE(LEFT(TRIM(F95),FIND(" ",TRIM(F95))-1)),0))</f>
        <v>0</v>
      </c>
    </row>
    <row r="96" customFormat="false" ht="15.75" hidden="false" customHeight="false" outlineLevel="0" collapsed="false">
      <c r="I96" s="0" t="n">
        <f aca="false">IF(F96="",0,IFERROR(VALUE(LEFT(TRIM(F96),FIND(" ",TRIM(F96))-1)),0))</f>
        <v>0</v>
      </c>
    </row>
    <row r="97" customFormat="false" ht="15.75" hidden="false" customHeight="false" outlineLevel="0" collapsed="false">
      <c r="I97" s="0" t="n">
        <f aca="false">IF(F97="",0,IFERROR(VALUE(LEFT(TRIM(F97),FIND(" ",TRIM(F97))-1)),0))</f>
        <v>0</v>
      </c>
    </row>
    <row r="98" customFormat="false" ht="15.75" hidden="false" customHeight="false" outlineLevel="0" collapsed="false">
      <c r="I98" s="0" t="n">
        <f aca="false">IF(F98="",0,IFERROR(VALUE(LEFT(TRIM(F98),FIND(" ",TRIM(F98))-1)),0))</f>
        <v>0</v>
      </c>
    </row>
    <row r="99" customFormat="false" ht="15.75" hidden="false" customHeight="false" outlineLevel="0" collapsed="false">
      <c r="I99" s="0" t="n">
        <f aca="false">IF(F99="",0,IFERROR(VALUE(LEFT(TRIM(F99),FIND(" ",TRIM(F99))-1)),0))</f>
        <v>0</v>
      </c>
    </row>
    <row r="100" customFormat="false" ht="15.75" hidden="false" customHeight="false" outlineLevel="0" collapsed="false">
      <c r="I100" s="0" t="n">
        <f aca="false">IF(F100="",0,IFERROR(VALUE(LEFT(TRIM(F100),FIND(" ",TRIM(F100))-1)),0))</f>
        <v>0</v>
      </c>
    </row>
    <row r="101" customFormat="false" ht="15.75" hidden="false" customHeight="false" outlineLevel="0" collapsed="false">
      <c r="I101" s="0" t="n">
        <f aca="false">IF(F101="",0,IFERROR(VALUE(LEFT(TRIM(F101),FIND(" ",TRIM(F101))-1)),0))</f>
        <v>0</v>
      </c>
    </row>
    <row r="102" customFormat="false" ht="15.75" hidden="false" customHeight="false" outlineLevel="0" collapsed="false">
      <c r="I102" s="0" t="n">
        <f aca="false">IF(F102="",0,IFERROR(VALUE(LEFT(TRIM(F102),FIND(" ",TRIM(F102))-1)),0))</f>
        <v>0</v>
      </c>
    </row>
    <row r="103" customFormat="false" ht="15.75" hidden="false" customHeight="false" outlineLevel="0" collapsed="false">
      <c r="I103" s="0" t="n">
        <f aca="false">IF(F103="",0,IFERROR(VALUE(LEFT(TRIM(F103),FIND(" ",TRIM(F103))-1)),0))</f>
        <v>0</v>
      </c>
    </row>
    <row r="104" customFormat="false" ht="15.75" hidden="false" customHeight="false" outlineLevel="0" collapsed="false">
      <c r="I104" s="0" t="n">
        <f aca="false">IF(F104="",0,IFERROR(VALUE(LEFT(TRIM(F104),FIND(" ",TRIM(F104))-1)),0))</f>
        <v>0</v>
      </c>
    </row>
    <row r="105" customFormat="false" ht="15.75" hidden="false" customHeight="false" outlineLevel="0" collapsed="false">
      <c r="I105" s="0" t="n">
        <f aca="false">IF(F105="",0,IFERROR(VALUE(LEFT(TRIM(F105),FIND(" ",TRIM(F105))-1)),0))</f>
        <v>0</v>
      </c>
    </row>
    <row r="106" customFormat="false" ht="15.75" hidden="false" customHeight="false" outlineLevel="0" collapsed="false">
      <c r="I106" s="0" t="n">
        <f aca="false">IF(F106="",0,IFERROR(VALUE(LEFT(TRIM(F106),FIND(" ",TRIM(F106))-1)),0))</f>
        <v>0</v>
      </c>
    </row>
    <row r="107" customFormat="false" ht="15.75" hidden="false" customHeight="false" outlineLevel="0" collapsed="false">
      <c r="I107" s="0" t="n">
        <f aca="false">IF(F107="",0,IFERROR(VALUE(LEFT(TRIM(F107),FIND(" ",TRIM(F107))-1)),0))</f>
        <v>0</v>
      </c>
    </row>
    <row r="108" customFormat="false" ht="15.75" hidden="false" customHeight="false" outlineLevel="0" collapsed="false">
      <c r="I108" s="0" t="n">
        <f aca="false">IF(F108="",0,IFERROR(VALUE(LEFT(TRIM(F108),FIND(" ",TRIM(F108))-1)),0))</f>
        <v>0</v>
      </c>
    </row>
    <row r="109" customFormat="false" ht="15.75" hidden="false" customHeight="false" outlineLevel="0" collapsed="false">
      <c r="I109" s="0" t="n">
        <f aca="false">IF(F109="",0,IFERROR(VALUE(LEFT(TRIM(F109),FIND(" ",TRIM(F109))-1)),0))</f>
        <v>0</v>
      </c>
    </row>
    <row r="110" customFormat="false" ht="15.75" hidden="false" customHeight="false" outlineLevel="0" collapsed="false">
      <c r="I110" s="0" t="n">
        <f aca="false">IF(F110="",0,IFERROR(VALUE(LEFT(TRIM(F110),FIND(" ",TRIM(F110))-1)),0))</f>
        <v>0</v>
      </c>
    </row>
    <row r="111" customFormat="false" ht="15.75" hidden="false" customHeight="false" outlineLevel="0" collapsed="false">
      <c r="I111" s="0" t="n">
        <f aca="false">IF(F111="",0,IFERROR(VALUE(LEFT(TRIM(F111),FIND(" ",TRIM(F111))-1)),0))</f>
        <v>0</v>
      </c>
    </row>
    <row r="112" customFormat="false" ht="15.75" hidden="false" customHeight="false" outlineLevel="0" collapsed="false">
      <c r="I112" s="0" t="n">
        <f aca="false">IF(F112="",0,IFERROR(VALUE(LEFT(TRIM(F112),FIND(" ",TRIM(F112))-1)),0))</f>
        <v>0</v>
      </c>
    </row>
    <row r="113" customFormat="false" ht="15.75" hidden="false" customHeight="false" outlineLevel="0" collapsed="false">
      <c r="I113" s="0" t="n">
        <f aca="false">IF(F113="",0,IFERROR(VALUE(LEFT(TRIM(F113),FIND(" ",TRIM(F113))-1)),0))</f>
        <v>0</v>
      </c>
    </row>
    <row r="114" customFormat="false" ht="15.75" hidden="false" customHeight="false" outlineLevel="0" collapsed="false">
      <c r="I114" s="0" t="n">
        <f aca="false">IF(F114="",0,IFERROR(VALUE(LEFT(TRIM(F114),FIND(" ",TRIM(F114))-1)),0))</f>
        <v>0</v>
      </c>
    </row>
    <row r="115" customFormat="false" ht="15.75" hidden="false" customHeight="false" outlineLevel="0" collapsed="false">
      <c r="I115" s="0" t="n">
        <f aca="false">IF(F115="",0,IFERROR(VALUE(LEFT(TRIM(F115),FIND(" ",TRIM(F115))-1)),0))</f>
        <v>0</v>
      </c>
    </row>
    <row r="116" customFormat="false" ht="15.75" hidden="false" customHeight="false" outlineLevel="0" collapsed="false">
      <c r="I116" s="0" t="n">
        <f aca="false">IF(F116="",0,IFERROR(VALUE(LEFT(TRIM(F116),FIND(" ",TRIM(F116))-1)),0))</f>
        <v>0</v>
      </c>
    </row>
    <row r="117" customFormat="false" ht="15.75" hidden="false" customHeight="false" outlineLevel="0" collapsed="false">
      <c r="I117" s="0" t="n">
        <f aca="false">IF(F117="",0,IFERROR(VALUE(LEFT(TRIM(F117),FIND(" ",TRIM(F117))-1)),0))</f>
        <v>0</v>
      </c>
    </row>
    <row r="118" customFormat="false" ht="15.75" hidden="false" customHeight="false" outlineLevel="0" collapsed="false">
      <c r="I118" s="0" t="n">
        <f aca="false">IF(F118="",0,IFERROR(VALUE(LEFT(TRIM(F118),FIND(" ",TRIM(F118))-1)),0))</f>
        <v>0</v>
      </c>
    </row>
    <row r="119" customFormat="false" ht="15.75" hidden="false" customHeight="false" outlineLevel="0" collapsed="false">
      <c r="I119" s="0" t="n">
        <f aca="false">IF(F119="",0,IFERROR(VALUE(LEFT(TRIM(F119),FIND(" ",TRIM(F119))-1)),0))</f>
        <v>0</v>
      </c>
    </row>
    <row r="120" customFormat="false" ht="15.75" hidden="false" customHeight="false" outlineLevel="0" collapsed="false">
      <c r="I120" s="0" t="n">
        <f aca="false">IF(F120="",0,IFERROR(VALUE(LEFT(TRIM(F120),FIND(" ",TRIM(F120))-1)),0))</f>
        <v>0</v>
      </c>
    </row>
    <row r="121" customFormat="false" ht="15.75" hidden="false" customHeight="false" outlineLevel="0" collapsed="false">
      <c r="I121" s="0" t="n">
        <f aca="false">IF(F121="",0,IFERROR(VALUE(LEFT(TRIM(F121),FIND(" ",TRIM(F121))-1)),0))</f>
        <v>0</v>
      </c>
    </row>
    <row r="122" customFormat="false" ht="15.75" hidden="false" customHeight="false" outlineLevel="0" collapsed="false">
      <c r="I122" s="0" t="n">
        <f aca="false">IF(F122="",0,IFERROR(VALUE(LEFT(TRIM(F122),FIND(" ",TRIM(F122))-1)),0))</f>
        <v>0</v>
      </c>
    </row>
    <row r="123" customFormat="false" ht="15.75" hidden="false" customHeight="false" outlineLevel="0" collapsed="false">
      <c r="I123" s="0" t="n">
        <f aca="false">IF(F123="",0,IFERROR(VALUE(LEFT(TRIM(F123),FIND(" ",TRIM(F123))-1)),0))</f>
        <v>0</v>
      </c>
    </row>
    <row r="124" customFormat="false" ht="15.75" hidden="false" customHeight="false" outlineLevel="0" collapsed="false">
      <c r="I124" s="0" t="n">
        <f aca="false">IF(F124="",0,IFERROR(VALUE(LEFT(TRIM(F124),FIND(" ",TRIM(F124))-1)),0))</f>
        <v>0</v>
      </c>
    </row>
    <row r="125" customFormat="false" ht="15.75" hidden="false" customHeight="false" outlineLevel="0" collapsed="false">
      <c r="I125" s="0" t="n">
        <f aca="false">IF(F125="",0,IFERROR(VALUE(LEFT(TRIM(F125),FIND(" ",TRIM(F125))-1)),0))</f>
        <v>0</v>
      </c>
    </row>
    <row r="126" customFormat="false" ht="15.75" hidden="false" customHeight="false" outlineLevel="0" collapsed="false">
      <c r="I126" s="0" t="n">
        <f aca="false">IF(F126="",0,IFERROR(VALUE(LEFT(TRIM(F126),FIND(" ",TRIM(F126))-1)),0))</f>
        <v>0</v>
      </c>
    </row>
    <row r="127" customFormat="false" ht="15.75" hidden="false" customHeight="false" outlineLevel="0" collapsed="false">
      <c r="I127" s="0" t="n">
        <f aca="false">IF(F127="",0,IFERROR(VALUE(LEFT(TRIM(F127),FIND(" ",TRIM(F127))-1)),0))</f>
        <v>0</v>
      </c>
    </row>
    <row r="128" customFormat="false" ht="15.75" hidden="false" customHeight="false" outlineLevel="0" collapsed="false">
      <c r="I128" s="0" t="n">
        <f aca="false">IF(F128="",0,IFERROR(VALUE(LEFT(TRIM(F128),FIND(" ",TRIM(F128))-1)),0))</f>
        <v>0</v>
      </c>
    </row>
    <row r="129" customFormat="false" ht="15.75" hidden="false" customHeight="false" outlineLevel="0" collapsed="false">
      <c r="I129" s="0" t="n">
        <f aca="false">IF(F129="",0,IFERROR(VALUE(LEFT(TRIM(F129),FIND(" ",TRIM(F129))-1)),0))</f>
        <v>0</v>
      </c>
    </row>
    <row r="130" customFormat="false" ht="15.75" hidden="false" customHeight="false" outlineLevel="0" collapsed="false">
      <c r="I130" s="0" t="n">
        <f aca="false">IF(F130="",0,IFERROR(VALUE(LEFT(TRIM(F130),FIND(" ",TRIM(F130))-1)),0))</f>
        <v>0</v>
      </c>
    </row>
    <row r="131" customFormat="false" ht="15.75" hidden="false" customHeight="false" outlineLevel="0" collapsed="false">
      <c r="I131" s="0" t="n">
        <f aca="false">IF(F131="",0,IFERROR(VALUE(LEFT(TRIM(F131),FIND(" ",TRIM(F131))-1)),0))</f>
        <v>0</v>
      </c>
    </row>
    <row r="132" customFormat="false" ht="15.75" hidden="false" customHeight="false" outlineLevel="0" collapsed="false">
      <c r="I132" s="0" t="n">
        <f aca="false">IF(F132="",0,IFERROR(VALUE(LEFT(TRIM(F132),FIND(" ",TRIM(F132))-1)),0))</f>
        <v>0</v>
      </c>
    </row>
    <row r="133" customFormat="false" ht="15.75" hidden="false" customHeight="false" outlineLevel="0" collapsed="false">
      <c r="I133" s="0" t="n">
        <f aca="false">IF(F133="",0,IFERROR(VALUE(LEFT(TRIM(F133),FIND(" ",TRIM(F133))-1)),0))</f>
        <v>0</v>
      </c>
    </row>
    <row r="134" customFormat="false" ht="15.75" hidden="false" customHeight="false" outlineLevel="0" collapsed="false">
      <c r="I134" s="0" t="n">
        <f aca="false">IF(F134="",0,IFERROR(VALUE(LEFT(TRIM(F134),FIND(" ",TRIM(F134))-1)),0))</f>
        <v>0</v>
      </c>
    </row>
    <row r="135" customFormat="false" ht="15.75" hidden="false" customHeight="false" outlineLevel="0" collapsed="false">
      <c r="I135" s="0" t="n">
        <f aca="false">IF(F135="",0,IFERROR(VALUE(LEFT(TRIM(F135),FIND(" ",TRIM(F135))-1)),0))</f>
        <v>0</v>
      </c>
    </row>
    <row r="136" customFormat="false" ht="15.75" hidden="false" customHeight="false" outlineLevel="0" collapsed="false">
      <c r="I136" s="0" t="n">
        <f aca="false">IF(F136="",0,IFERROR(VALUE(LEFT(TRIM(F136),FIND(" ",TRIM(F136))-1)),0))</f>
        <v>0</v>
      </c>
    </row>
    <row r="137" customFormat="false" ht="15.75" hidden="false" customHeight="false" outlineLevel="0" collapsed="false">
      <c r="I137" s="0" t="n">
        <f aca="false">IF(F137="",0,IFERROR(VALUE(LEFT(TRIM(F137),FIND(" ",TRIM(F137))-1)),0))</f>
        <v>0</v>
      </c>
    </row>
    <row r="138" customFormat="false" ht="15.75" hidden="false" customHeight="false" outlineLevel="0" collapsed="false">
      <c r="I138" s="0" t="n">
        <f aca="false">IF(F138="",0,IFERROR(VALUE(LEFT(TRIM(F138),FIND(" ",TRIM(F138))-1)),0))</f>
        <v>0</v>
      </c>
    </row>
    <row r="139" customFormat="false" ht="15.75" hidden="false" customHeight="false" outlineLevel="0" collapsed="false">
      <c r="I139" s="0" t="n">
        <f aca="false">IF(F139="",0,IFERROR(VALUE(LEFT(TRIM(F139),FIND(" ",TRIM(F139))-1)),0))</f>
        <v>0</v>
      </c>
    </row>
    <row r="140" customFormat="false" ht="15.75" hidden="false" customHeight="false" outlineLevel="0" collapsed="false">
      <c r="I140" s="0" t="n">
        <f aca="false">IF(F140="",0,IFERROR(VALUE(LEFT(TRIM(F140),FIND(" ",TRIM(F140))-1)),0))</f>
        <v>0</v>
      </c>
    </row>
    <row r="141" customFormat="false" ht="15.75" hidden="false" customHeight="false" outlineLevel="0" collapsed="false">
      <c r="I141" s="0" t="n">
        <f aca="false">IF(F141="",0,IFERROR(VALUE(LEFT(TRIM(F141),FIND(" ",TRIM(F141))-1)),0))</f>
        <v>0</v>
      </c>
    </row>
    <row r="142" customFormat="false" ht="15.75" hidden="false" customHeight="false" outlineLevel="0" collapsed="false">
      <c r="I142" s="0" t="n">
        <f aca="false">IF(F142="",0,IFERROR(VALUE(LEFT(TRIM(F142),FIND(" ",TRIM(F142))-1)),0))</f>
        <v>0</v>
      </c>
    </row>
    <row r="143" customFormat="false" ht="15.75" hidden="false" customHeight="false" outlineLevel="0" collapsed="false">
      <c r="I143" s="0" t="n">
        <f aca="false">IF(F143="",0,IFERROR(VALUE(LEFT(TRIM(F143),FIND(" ",TRIM(F143))-1)),0))</f>
        <v>0</v>
      </c>
    </row>
    <row r="144" customFormat="false" ht="15.75" hidden="false" customHeight="false" outlineLevel="0" collapsed="false">
      <c r="I144" s="0" t="n">
        <f aca="false">IF(F144="",0,IFERROR(VALUE(LEFT(TRIM(F144),FIND(" ",TRIM(F144))-1)),0))</f>
        <v>0</v>
      </c>
    </row>
    <row r="145" customFormat="false" ht="15.75" hidden="false" customHeight="false" outlineLevel="0" collapsed="false">
      <c r="I145" s="0" t="n">
        <f aca="false">IF(F145="",0,IFERROR(VALUE(LEFT(TRIM(F145),FIND(" ",TRIM(F145))-1)),0))</f>
        <v>0</v>
      </c>
    </row>
    <row r="146" customFormat="false" ht="15.75" hidden="false" customHeight="false" outlineLevel="0" collapsed="false">
      <c r="I146" s="0" t="n">
        <f aca="false">IF(F146="",0,IFERROR(VALUE(LEFT(TRIM(F146),FIND(" ",TRIM(F146))-1)),0))</f>
        <v>0</v>
      </c>
    </row>
    <row r="147" customFormat="false" ht="15.75" hidden="false" customHeight="false" outlineLevel="0" collapsed="false">
      <c r="I147" s="0" t="n">
        <f aca="false">IF(F147="",0,IFERROR(VALUE(LEFT(TRIM(F147),FIND(" ",TRIM(F147))-1)),0))</f>
        <v>0</v>
      </c>
    </row>
    <row r="148" customFormat="false" ht="15.75" hidden="false" customHeight="false" outlineLevel="0" collapsed="false">
      <c r="I148" s="0" t="n">
        <f aca="false">IF(F148="",0,IFERROR(VALUE(LEFT(TRIM(F148),FIND(" ",TRIM(F148))-1)),0))</f>
        <v>0</v>
      </c>
    </row>
    <row r="149" customFormat="false" ht="15.75" hidden="false" customHeight="false" outlineLevel="0" collapsed="false">
      <c r="I149" s="0" t="n">
        <f aca="false">IF(F149="",0,IFERROR(VALUE(LEFT(TRIM(F149),FIND(" ",TRIM(F149))-1)),0))</f>
        <v>0</v>
      </c>
    </row>
    <row r="150" customFormat="false" ht="15.75" hidden="false" customHeight="false" outlineLevel="0" collapsed="false">
      <c r="I150" s="0" t="n">
        <f aca="false">IF(F150="",0,IFERROR(VALUE(LEFT(TRIM(F150),FIND(" ",TRIM(F150))-1)),0))</f>
        <v>0</v>
      </c>
    </row>
    <row r="151" customFormat="false" ht="15.75" hidden="false" customHeight="false" outlineLevel="0" collapsed="false">
      <c r="I151" s="0" t="n">
        <f aca="false">IF(F151="",0,IFERROR(VALUE(LEFT(TRIM(F151),FIND(" ",TRIM(F151))-1)),0))</f>
        <v>0</v>
      </c>
    </row>
    <row r="152" customFormat="false" ht="15.75" hidden="false" customHeight="false" outlineLevel="0" collapsed="false">
      <c r="I152" s="0" t="n">
        <f aca="false">IF(F152="",0,IFERROR(VALUE(LEFT(TRIM(F152),FIND(" ",TRIM(F152))-1)),0))</f>
        <v>0</v>
      </c>
    </row>
    <row r="153" customFormat="false" ht="15.75" hidden="false" customHeight="false" outlineLevel="0" collapsed="false">
      <c r="I153" s="0" t="n">
        <f aca="false">IF(F153="",0,IFERROR(VALUE(LEFT(TRIM(F153),FIND(" ",TRIM(F153))-1)),0))</f>
        <v>0</v>
      </c>
    </row>
    <row r="154" customFormat="false" ht="15.75" hidden="false" customHeight="false" outlineLevel="0" collapsed="false">
      <c r="I154" s="0" t="n">
        <f aca="false">IF(F154="",0,IFERROR(VALUE(LEFT(TRIM(F154),FIND(" ",TRIM(F154))-1)),0))</f>
        <v>0</v>
      </c>
    </row>
    <row r="155" customFormat="false" ht="15.75" hidden="false" customHeight="false" outlineLevel="0" collapsed="false">
      <c r="I155" s="0" t="n">
        <f aca="false">IF(F155="",0,IFERROR(VALUE(LEFT(TRIM(F155),FIND(" ",TRIM(F155))-1)),0))</f>
        <v>0</v>
      </c>
    </row>
    <row r="156" customFormat="false" ht="15.75" hidden="false" customHeight="false" outlineLevel="0" collapsed="false">
      <c r="I156" s="0" t="n">
        <f aca="false">IF(F156="",0,IFERROR(VALUE(LEFT(TRIM(F156),FIND(" ",TRIM(F156))-1)),0))</f>
        <v>0</v>
      </c>
    </row>
    <row r="157" customFormat="false" ht="15.75" hidden="false" customHeight="false" outlineLevel="0" collapsed="false">
      <c r="I157" s="0" t="n">
        <f aca="false">IF(F157="",0,IFERROR(VALUE(LEFT(TRIM(F157),FIND(" ",TRIM(F157))-1)),0))</f>
        <v>0</v>
      </c>
    </row>
    <row r="158" customFormat="false" ht="15.75" hidden="false" customHeight="false" outlineLevel="0" collapsed="false">
      <c r="I158" s="0" t="n">
        <f aca="false">IF(F158="",0,IFERROR(VALUE(LEFT(TRIM(F158),FIND(" ",TRIM(F158))-1)),0))</f>
        <v>0</v>
      </c>
    </row>
    <row r="159" customFormat="false" ht="15.75" hidden="false" customHeight="false" outlineLevel="0" collapsed="false">
      <c r="I159" s="0" t="n">
        <f aca="false">IF(F159="",0,IFERROR(VALUE(LEFT(TRIM(F159),FIND(" ",TRIM(F159))-1)),0))</f>
        <v>0</v>
      </c>
    </row>
    <row r="160" customFormat="false" ht="15.75" hidden="false" customHeight="false" outlineLevel="0" collapsed="false">
      <c r="I160" s="0" t="n">
        <f aca="false">IF(F160="",0,IFERROR(VALUE(LEFT(TRIM(F160),FIND(" ",TRIM(F160))-1)),0))</f>
        <v>0</v>
      </c>
    </row>
    <row r="161" customFormat="false" ht="15.75" hidden="false" customHeight="false" outlineLevel="0" collapsed="false">
      <c r="I161" s="0" t="n">
        <f aca="false">IF(F161="",0,IFERROR(VALUE(LEFT(TRIM(F161),FIND(" ",TRIM(F161))-1)),0))</f>
        <v>0</v>
      </c>
    </row>
    <row r="162" customFormat="false" ht="15.75" hidden="false" customHeight="false" outlineLevel="0" collapsed="false">
      <c r="I162" s="0" t="n">
        <f aca="false">IF(F162="",0,IFERROR(VALUE(LEFT(TRIM(F162),FIND(" ",TRIM(F162))-1)),0))</f>
        <v>0</v>
      </c>
    </row>
    <row r="163" customFormat="false" ht="15.75" hidden="false" customHeight="false" outlineLevel="0" collapsed="false">
      <c r="I163" s="0" t="n">
        <f aca="false">IF(F163="",0,IFERROR(VALUE(LEFT(TRIM(F163),FIND(" ",TRIM(F163))-1)),0))</f>
        <v>0</v>
      </c>
    </row>
    <row r="164" customFormat="false" ht="15.75" hidden="false" customHeight="false" outlineLevel="0" collapsed="false">
      <c r="I164" s="0" t="n">
        <f aca="false">IF(F164="",0,IFERROR(VALUE(LEFT(TRIM(F164),FIND(" ",TRIM(F164))-1)),0))</f>
        <v>0</v>
      </c>
    </row>
    <row r="165" customFormat="false" ht="15.75" hidden="false" customHeight="false" outlineLevel="0" collapsed="false">
      <c r="I165" s="0" t="n">
        <f aca="false">IF(F165="",0,IFERROR(VALUE(LEFT(TRIM(F165),FIND(" ",TRIM(F165))-1)),0))</f>
        <v>0</v>
      </c>
    </row>
    <row r="166" customFormat="false" ht="15.75" hidden="false" customHeight="false" outlineLevel="0" collapsed="false">
      <c r="I166" s="0" t="n">
        <f aca="false">IF(F166="",0,IFERROR(VALUE(LEFT(TRIM(F166),FIND(" ",TRIM(F166))-1)),0))</f>
        <v>0</v>
      </c>
    </row>
    <row r="167" customFormat="false" ht="15.75" hidden="false" customHeight="false" outlineLevel="0" collapsed="false">
      <c r="I167" s="0" t="n">
        <f aca="false">IF(F167="",0,IFERROR(VALUE(LEFT(TRIM(F167),FIND(" ",TRIM(F167))-1)),0))</f>
        <v>0</v>
      </c>
    </row>
    <row r="168" customFormat="false" ht="15.75" hidden="false" customHeight="false" outlineLevel="0" collapsed="false">
      <c r="I168" s="0" t="n">
        <f aca="false">IF(F168="",0,IFERROR(VALUE(LEFT(TRIM(F168),FIND(" ",TRIM(F168))-1)),0))</f>
        <v>0</v>
      </c>
    </row>
    <row r="169" customFormat="false" ht="15.75" hidden="false" customHeight="false" outlineLevel="0" collapsed="false">
      <c r="I169" s="0" t="n">
        <f aca="false">IF(F169="",0,IFERROR(VALUE(LEFT(TRIM(F169),FIND(" ",TRIM(F169))-1)),0))</f>
        <v>0</v>
      </c>
    </row>
    <row r="170" customFormat="false" ht="15.75" hidden="false" customHeight="false" outlineLevel="0" collapsed="false">
      <c r="I170" s="0" t="n">
        <f aca="false">IF(F170="",0,IFERROR(VALUE(LEFT(TRIM(F170),FIND(" ",TRIM(F170))-1)),0))</f>
        <v>0</v>
      </c>
    </row>
    <row r="171" customFormat="false" ht="15.75" hidden="false" customHeight="false" outlineLevel="0" collapsed="false">
      <c r="I171" s="0" t="n">
        <f aca="false">IF(F171="",0,IFERROR(VALUE(LEFT(TRIM(F171),FIND(" ",TRIM(F171))-1)),0))</f>
        <v>0</v>
      </c>
    </row>
    <row r="172" customFormat="false" ht="15.75" hidden="false" customHeight="false" outlineLevel="0" collapsed="false">
      <c r="I172" s="0" t="n">
        <f aca="false">IF(F172="",0,IFERROR(VALUE(LEFT(TRIM(F172),FIND(" ",TRIM(F172))-1)),0))</f>
        <v>0</v>
      </c>
    </row>
    <row r="173" customFormat="false" ht="15.75" hidden="false" customHeight="false" outlineLevel="0" collapsed="false">
      <c r="I173" s="0" t="n">
        <f aca="false">IF(F173="",0,IFERROR(VALUE(LEFT(TRIM(F173),FIND(" ",TRIM(F173))-1)),0))</f>
        <v>0</v>
      </c>
    </row>
    <row r="174" customFormat="false" ht="15.75" hidden="false" customHeight="false" outlineLevel="0" collapsed="false">
      <c r="I174" s="0" t="n">
        <f aca="false">IF(F174="",0,IFERROR(VALUE(LEFT(TRIM(F174),FIND(" ",TRIM(F174))-1)),0))</f>
        <v>0</v>
      </c>
    </row>
    <row r="175" customFormat="false" ht="15.75" hidden="false" customHeight="false" outlineLevel="0" collapsed="false">
      <c r="I175" s="0" t="n">
        <f aca="false">IF(F175="",0,IFERROR(VALUE(LEFT(TRIM(F175),FIND(" ",TRIM(F175))-1)),0))</f>
        <v>0</v>
      </c>
    </row>
    <row r="176" customFormat="false" ht="15.75" hidden="false" customHeight="false" outlineLevel="0" collapsed="false">
      <c r="I176" s="0" t="n">
        <f aca="false">IF(F176="",0,IFERROR(VALUE(LEFT(TRIM(F176),FIND(" ",TRIM(F176))-1)),0))</f>
        <v>0</v>
      </c>
    </row>
    <row r="177" customFormat="false" ht="15.75" hidden="false" customHeight="false" outlineLevel="0" collapsed="false">
      <c r="I177" s="0" t="n">
        <f aca="false">IF(F177="",0,IFERROR(VALUE(LEFT(TRIM(F177),FIND(" ",TRIM(F177))-1)),0))</f>
        <v>0</v>
      </c>
    </row>
    <row r="178" customFormat="false" ht="15.75" hidden="false" customHeight="false" outlineLevel="0" collapsed="false">
      <c r="I178" s="0" t="n">
        <f aca="false">IF(F178="",0,IFERROR(VALUE(LEFT(TRIM(F178),FIND(" ",TRIM(F178))-1)),0))</f>
        <v>0</v>
      </c>
    </row>
    <row r="179" customFormat="false" ht="15.75" hidden="false" customHeight="false" outlineLevel="0" collapsed="false">
      <c r="I179" s="0" t="n">
        <f aca="false">IF(F179="",0,IFERROR(VALUE(LEFT(TRIM(F179),FIND(" ",TRIM(F179))-1)),0))</f>
        <v>0</v>
      </c>
    </row>
    <row r="180" customFormat="false" ht="15.75" hidden="false" customHeight="false" outlineLevel="0" collapsed="false">
      <c r="I180" s="0" t="n">
        <f aca="false">IF(F180="",0,IFERROR(VALUE(LEFT(TRIM(F180),FIND(" ",TRIM(F180))-1)),0))</f>
        <v>0</v>
      </c>
    </row>
    <row r="181" customFormat="false" ht="15.75" hidden="false" customHeight="false" outlineLevel="0" collapsed="false">
      <c r="I181" s="0" t="n">
        <f aca="false">IF(F181="",0,IFERROR(VALUE(LEFT(TRIM(F181),FIND(" ",TRIM(F181))-1)),0))</f>
        <v>0</v>
      </c>
    </row>
    <row r="182" customFormat="false" ht="15.75" hidden="false" customHeight="false" outlineLevel="0" collapsed="false">
      <c r="I182" s="0" t="n">
        <f aca="false">IF(F182="",0,IFERROR(VALUE(LEFT(TRIM(F182),FIND(" ",TRIM(F182))-1)),0))</f>
        <v>0</v>
      </c>
    </row>
    <row r="183" customFormat="false" ht="15.75" hidden="false" customHeight="false" outlineLevel="0" collapsed="false">
      <c r="I183" s="0" t="n">
        <f aca="false">IF(F183="",0,IFERROR(VALUE(LEFT(TRIM(F183),FIND(" ",TRIM(F183))-1)),0))</f>
        <v>0</v>
      </c>
    </row>
    <row r="184" customFormat="false" ht="15.75" hidden="false" customHeight="false" outlineLevel="0" collapsed="false">
      <c r="I184" s="0" t="n">
        <f aca="false">IF(F184="",0,IFERROR(VALUE(LEFT(TRIM(F184),FIND(" ",TRIM(F184))-1)),0))</f>
        <v>0</v>
      </c>
    </row>
    <row r="185" customFormat="false" ht="15.75" hidden="false" customHeight="false" outlineLevel="0" collapsed="false">
      <c r="I185" s="0" t="n">
        <f aca="false">IF(F185="",0,IFERROR(VALUE(LEFT(TRIM(F185),FIND(" ",TRIM(F185))-1)),0))</f>
        <v>0</v>
      </c>
    </row>
    <row r="186" customFormat="false" ht="15.75" hidden="false" customHeight="false" outlineLevel="0" collapsed="false">
      <c r="I186" s="0" t="n">
        <f aca="false">IF(F186="",0,IFERROR(VALUE(LEFT(TRIM(F186),FIND(" ",TRIM(F186))-1)),0))</f>
        <v>0</v>
      </c>
    </row>
    <row r="187" customFormat="false" ht="15.75" hidden="false" customHeight="false" outlineLevel="0" collapsed="false">
      <c r="I187" s="0" t="n">
        <f aca="false">IF(F187="",0,IFERROR(VALUE(LEFT(TRIM(F187),FIND(" ",TRIM(F187))-1)),0))</f>
        <v>0</v>
      </c>
    </row>
    <row r="188" customFormat="false" ht="15.75" hidden="false" customHeight="false" outlineLevel="0" collapsed="false">
      <c r="I188" s="0" t="n">
        <f aca="false">IF(F188="",0,IFERROR(VALUE(LEFT(TRIM(F188),FIND(" ",TRIM(F188))-1)),0))</f>
        <v>0</v>
      </c>
    </row>
    <row r="189" customFormat="false" ht="15.75" hidden="false" customHeight="false" outlineLevel="0" collapsed="false">
      <c r="I189" s="0" t="n">
        <f aca="false">IF(F189="",0,IFERROR(VALUE(LEFT(TRIM(F189),FIND(" ",TRIM(F189))-1)),0))</f>
        <v>0</v>
      </c>
    </row>
    <row r="190" customFormat="false" ht="15.75" hidden="false" customHeight="false" outlineLevel="0" collapsed="false">
      <c r="I190" s="0" t="n">
        <f aca="false">IF(F190="",0,IFERROR(VALUE(LEFT(TRIM(F190),FIND(" ",TRIM(F190))-1)),0))</f>
        <v>0</v>
      </c>
    </row>
    <row r="191" customFormat="false" ht="15.75" hidden="false" customHeight="false" outlineLevel="0" collapsed="false">
      <c r="I191" s="0" t="n">
        <f aca="false">IF(F191="",0,IFERROR(VALUE(LEFT(TRIM(F191),FIND(" ",TRIM(F191))-1)),0))</f>
        <v>0</v>
      </c>
    </row>
    <row r="192" customFormat="false" ht="15.75" hidden="false" customHeight="false" outlineLevel="0" collapsed="false">
      <c r="I192" s="0" t="n">
        <f aca="false">IF(F192="",0,IFERROR(VALUE(LEFT(TRIM(F192),FIND(" ",TRIM(F192))-1)),0))</f>
        <v>0</v>
      </c>
    </row>
    <row r="193" customFormat="false" ht="15.75" hidden="false" customHeight="false" outlineLevel="0" collapsed="false">
      <c r="I193" s="0" t="n">
        <f aca="false">IF(F193="",0,IFERROR(VALUE(LEFT(TRIM(F193),FIND(" ",TRIM(F193))-1)),0))</f>
        <v>0</v>
      </c>
    </row>
    <row r="194" customFormat="false" ht="15.75" hidden="false" customHeight="false" outlineLevel="0" collapsed="false">
      <c r="I194" s="0" t="n">
        <f aca="false">IF(F194="",0,IFERROR(VALUE(LEFT(TRIM(F194),FIND(" ",TRIM(F194))-1)),0))</f>
        <v>0</v>
      </c>
    </row>
    <row r="195" customFormat="false" ht="15.75" hidden="false" customHeight="false" outlineLevel="0" collapsed="false">
      <c r="I195" s="0" t="n">
        <f aca="false">IF(F195="",0,IFERROR(VALUE(LEFT(TRIM(F195),FIND(" ",TRIM(F195))-1)),0))</f>
        <v>0</v>
      </c>
    </row>
    <row r="196" customFormat="false" ht="15.75" hidden="false" customHeight="false" outlineLevel="0" collapsed="false">
      <c r="I196" s="0" t="n">
        <f aca="false">IF(F196="",0,IFERROR(VALUE(LEFT(TRIM(F196),FIND(" ",TRIM(F196))-1)),0))</f>
        <v>0</v>
      </c>
    </row>
    <row r="197" customFormat="false" ht="15.75" hidden="false" customHeight="false" outlineLevel="0" collapsed="false">
      <c r="I197" s="0" t="n">
        <f aca="false">IF(F197="",0,IFERROR(VALUE(LEFT(TRIM(F197),FIND(" ",TRIM(F197))-1)),0))</f>
        <v>0</v>
      </c>
    </row>
    <row r="198" customFormat="false" ht="15.75" hidden="false" customHeight="false" outlineLevel="0" collapsed="false">
      <c r="I198" s="0" t="n">
        <f aca="false">IF(F198="",0,IFERROR(VALUE(LEFT(TRIM(F198),FIND(" ",TRIM(F198))-1)),0))</f>
        <v>0</v>
      </c>
    </row>
    <row r="199" customFormat="false" ht="15.75" hidden="false" customHeight="false" outlineLevel="0" collapsed="false">
      <c r="I199" s="0" t="n">
        <f aca="false">IF(F199="",0,IFERROR(VALUE(LEFT(TRIM(F199),FIND(" ",TRIM(F199))-1)),0))</f>
        <v>0</v>
      </c>
    </row>
    <row r="200" customFormat="false" ht="15.75" hidden="false" customHeight="false" outlineLevel="0" collapsed="false">
      <c r="I200" s="0" t="n">
        <f aca="false">IF(F200="",0,IFERROR(VALUE(LEFT(TRIM(F200),FIND(" ",TRIM(F200))-1)),0))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36.5"/>
  </cols>
  <sheetData>
    <row r="1" customFormat="false" ht="15.75" hidden="false" customHeight="false" outlineLevel="0" collapsed="false">
      <c r="A1" s="1" t="s">
        <v>47</v>
      </c>
      <c r="B1" s="1"/>
      <c r="C1" s="1"/>
    </row>
    <row r="2" customFormat="false" ht="15.7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62</v>
      </c>
    </row>
    <row r="3" customFormat="false" ht="15.75" hidden="false" customHeight="false" outlineLevel="0" collapsed="false">
      <c r="A3" s="0" t="s">
        <v>63</v>
      </c>
      <c r="C3" s="0" t="s">
        <v>64</v>
      </c>
      <c r="D3" s="0" t="n">
        <f aca="false">IF($B3="",0,COUNTIFS(SMIX2AT!$D$2:$D$200,$B3,SMIX2AT!$H$2:$H$200,"P1"))</f>
        <v>0</v>
      </c>
      <c r="E3" s="0" t="n">
        <f aca="false">MAX(0.5,MIN(1.5,1+IF($B3="",0,SUMPRODUCT((SMIX2AT!$D$2:$D$200=$B3)*(SMIX2AT!$H$2:$H$200="P1")*SMIX2AT!$I$2:$I$200*0.01))))</f>
        <v>1</v>
      </c>
      <c r="F3" s="0" t="n">
        <f aca="false">IF($B3="",0,COUNTIFS(SMIX2AT!$D$2:$D$200,$B3,SMIX2AT!$H$2:$H$200,"P2"))</f>
        <v>0</v>
      </c>
      <c r="G3" s="0" t="n">
        <f aca="false">MAX(0.5,MIN(1.5,1+IF($B3="",0,SUMPRODUCT((SMIX2AT!$D$2:$D$200=$B3)*(SMIX2AT!$H$2:$H$200="P2")*SMIX2AT!$I$2:$I$200*0.01))))</f>
        <v>1</v>
      </c>
      <c r="H3" s="0" t="n">
        <f aca="false">IF($B3="",0,COUNTIFS(SMIX2AT!$D$2:$D$200,$B3,SMIX2AT!$H$2:$H$200,"P3"))</f>
        <v>0</v>
      </c>
      <c r="I3" s="0" t="n">
        <f aca="false">MAX(0.5,MIN(1.5,1+IF($B3="",0,SUMPRODUCT((SMIX2AT!$D$2:$D$200=$B3)*(SMIX2AT!$H$2:$H$200="P3")*SMIX2AT!$I$2:$I$200*0.01))))</f>
        <v>1</v>
      </c>
      <c r="J3" s="0" t="n">
        <f aca="false">IF($B3="",0,COUNTIFS(SMIX2AT!$D$2:$D$200,$B3,SMIX2AT!$H$2:$H$200,"P4"))</f>
        <v>0</v>
      </c>
      <c r="K3" s="0" t="n">
        <f aca="false">MAX(0.5,MIN(1.5,1+IF($B3="",0,SUMPRODUCT((SMIX2AT!$D$2:$D$200=$B3)*(SMIX2AT!$H$2:$H$200="P4")*SMIX2AT!$I$2:$I$200*0.01))))</f>
        <v>1</v>
      </c>
      <c r="L3" s="0" t="n">
        <f aca="false">IF($B3="",0,COUNTIFS(SMIX2AT!$D$2:$D$200,$B3,SMIX2AT!$H$2:$H$200,"P5"))</f>
        <v>0</v>
      </c>
      <c r="M3" s="0" t="n">
        <f aca="false">MAX(0.5,MIN(1.5,1+IF($B3="",0,SUMPRODUCT((SMIX2AT!$D$2:$D$200=$B3)*(SMIX2AT!$H$2:$H$200="P5")*SMIX2AT!$I$2:$I$200*0.01))))</f>
        <v>1</v>
      </c>
      <c r="N3" s="0" t="n">
        <f aca="false">IF($B3="",0,IFERROR(SUMPRODUCT((SMIX2AT!$D$2:$D$200=$B3)*SMIX2AT!$I$2:$I$200),0))</f>
        <v>0</v>
      </c>
      <c r="O3" s="0" t="n">
        <f aca="false">D3+F3+H3+J3+L3</f>
        <v>0</v>
      </c>
    </row>
    <row r="4" customFormat="false" ht="15.75" hidden="false" customHeight="false" outlineLevel="0" collapsed="false">
      <c r="A4" s="0" t="s">
        <v>65</v>
      </c>
      <c r="C4" s="0" t="s">
        <v>66</v>
      </c>
      <c r="D4" s="0" t="n">
        <f aca="false">IF($B4="",0,COUNTIFS(SMIX2AT!$D$2:$D$200,$B4,SMIX2AT!$H$2:$H$200,"P1"))</f>
        <v>0</v>
      </c>
      <c r="E4" s="0" t="n">
        <f aca="false">MAX(0.5,MIN(1.5,1+IF($B4="",0,SUMPRODUCT((SMIX2AT!$D$2:$D$200=$B4)*(SMIX2AT!$H$2:$H$200="P1")*SMIX2AT!$I$2:$I$200*0.01))))</f>
        <v>1</v>
      </c>
      <c r="F4" s="0" t="n">
        <f aca="false">IF($B4="",0,COUNTIFS(SMIX2AT!$D$2:$D$200,$B4,SMIX2AT!$H$2:$H$200,"P2"))</f>
        <v>0</v>
      </c>
      <c r="G4" s="0" t="n">
        <f aca="false">MAX(0.5,MIN(1.5,1+IF($B4="",0,SUMPRODUCT((SMIX2AT!$D$2:$D$200=$B4)*(SMIX2AT!$H$2:$H$200="P2")*SMIX2AT!$I$2:$I$200*0.01))))</f>
        <v>1</v>
      </c>
      <c r="H4" s="0" t="n">
        <f aca="false">IF($B4="",0,COUNTIFS(SMIX2AT!$D$2:$D$200,$B4,SMIX2AT!$H$2:$H$200,"P3"))</f>
        <v>0</v>
      </c>
      <c r="I4" s="0" t="n">
        <f aca="false">MAX(0.5,MIN(1.5,1+IF($B4="",0,SUMPRODUCT((SMIX2AT!$D$2:$D$200=$B4)*(SMIX2AT!$H$2:$H$200="P3")*SMIX2AT!$I$2:$I$200*0.01))))</f>
        <v>1</v>
      </c>
      <c r="J4" s="0" t="n">
        <f aca="false">IF($B4="",0,COUNTIFS(SMIX2AT!$D$2:$D$200,$B4,SMIX2AT!$H$2:$H$200,"P4"))</f>
        <v>0</v>
      </c>
      <c r="K4" s="0" t="n">
        <f aca="false">MAX(0.5,MIN(1.5,1+IF($B4="",0,SUMPRODUCT((SMIX2AT!$D$2:$D$200=$B4)*(SMIX2AT!$H$2:$H$200="P4")*SMIX2AT!$I$2:$I$200*0.01))))</f>
        <v>1</v>
      </c>
      <c r="L4" s="0" t="n">
        <f aca="false">IF($B4="",0,COUNTIFS(SMIX2AT!$D$2:$D$200,$B4,SMIX2AT!$H$2:$H$200,"P5"))</f>
        <v>0</v>
      </c>
      <c r="M4" s="0" t="n">
        <f aca="false">MAX(0.5,MIN(1.5,1+IF($B4="",0,SUMPRODUCT((SMIX2AT!$D$2:$D$200=$B4)*(SMIX2AT!$H$2:$H$200="P5")*SMIX2AT!$I$2:$I$200*0.01))))</f>
        <v>1</v>
      </c>
      <c r="N4" s="0" t="n">
        <f aca="false">IF($B4="",0,IFERROR(SUMPRODUCT((SMIX2AT!$D$2:$D$200=$B4)*SMIX2AT!$I$2:$I$200),0))</f>
        <v>0</v>
      </c>
      <c r="O4" s="0" t="n">
        <f aca="false">D4+F4+H4+J4+L4</f>
        <v>0</v>
      </c>
    </row>
    <row r="5" customFormat="false" ht="15.75" hidden="false" customHeight="false" outlineLevel="0" collapsed="false">
      <c r="A5" s="0" t="s">
        <v>67</v>
      </c>
      <c r="C5" s="0" t="s">
        <v>68</v>
      </c>
      <c r="D5" s="0" t="n">
        <f aca="false">IF($B5="",0,COUNTIFS(SMIX2AT!$D$2:$D$200,$B5,SMIX2AT!$H$2:$H$200,"P1"))</f>
        <v>0</v>
      </c>
      <c r="E5" s="0" t="n">
        <f aca="false">MAX(0.5,MIN(1.5,1+IF($B5="",0,SUMPRODUCT((SMIX2AT!$D$2:$D$200=$B5)*(SMIX2AT!$H$2:$H$200="P1")*SMIX2AT!$I$2:$I$200*0.01))))</f>
        <v>1</v>
      </c>
      <c r="F5" s="0" t="n">
        <f aca="false">IF($B5="",0,COUNTIFS(SMIX2AT!$D$2:$D$200,$B5,SMIX2AT!$H$2:$H$200,"P2"))</f>
        <v>0</v>
      </c>
      <c r="G5" s="0" t="n">
        <f aca="false">MAX(0.5,MIN(1.5,1+IF($B5="",0,SUMPRODUCT((SMIX2AT!$D$2:$D$200=$B5)*(SMIX2AT!$H$2:$H$200="P2")*SMIX2AT!$I$2:$I$200*0.01))))</f>
        <v>1</v>
      </c>
      <c r="H5" s="0" t="n">
        <f aca="false">IF($B5="",0,COUNTIFS(SMIX2AT!$D$2:$D$200,$B5,SMIX2AT!$H$2:$H$200,"P3"))</f>
        <v>0</v>
      </c>
      <c r="I5" s="0" t="n">
        <f aca="false">MAX(0.5,MIN(1.5,1+IF($B5="",0,SUMPRODUCT((SMIX2AT!$D$2:$D$200=$B5)*(SMIX2AT!$H$2:$H$200="P3")*SMIX2AT!$I$2:$I$200*0.01))))</f>
        <v>1</v>
      </c>
      <c r="J5" s="0" t="n">
        <f aca="false">IF($B5="",0,COUNTIFS(SMIX2AT!$D$2:$D$200,$B5,SMIX2AT!$H$2:$H$200,"P4"))</f>
        <v>0</v>
      </c>
      <c r="K5" s="0" t="n">
        <f aca="false">MAX(0.5,MIN(1.5,1+IF($B5="",0,SUMPRODUCT((SMIX2AT!$D$2:$D$200=$B5)*(SMIX2AT!$H$2:$H$200="P4")*SMIX2AT!$I$2:$I$200*0.01))))</f>
        <v>1</v>
      </c>
      <c r="L5" s="0" t="n">
        <f aca="false">IF($B5="",0,COUNTIFS(SMIX2AT!$D$2:$D$200,$B5,SMIX2AT!$H$2:$H$200,"P5"))</f>
        <v>0</v>
      </c>
      <c r="M5" s="0" t="n">
        <f aca="false">MAX(0.5,MIN(1.5,1+IF($B5="",0,SUMPRODUCT((SMIX2AT!$D$2:$D$200=$B5)*(SMIX2AT!$H$2:$H$200="P5")*SMIX2AT!$I$2:$I$200*0.01))))</f>
        <v>1</v>
      </c>
      <c r="N5" s="0" t="n">
        <f aca="false">IF($B5="",0,IFERROR(SUMPRODUCT((SMIX2AT!$D$2:$D$200=$B5)*SMIX2AT!$I$2:$I$200),0))</f>
        <v>0</v>
      </c>
      <c r="O5" s="0" t="n">
        <f aca="false">D5+F5+H5+J5+L5</f>
        <v>0</v>
      </c>
    </row>
    <row r="6" customFormat="false" ht="15.75" hidden="false" customHeight="false" outlineLevel="0" collapsed="false">
      <c r="A6" s="0" t="s">
        <v>69</v>
      </c>
      <c r="C6" s="0" t="s">
        <v>70</v>
      </c>
      <c r="D6" s="0" t="n">
        <f aca="false">IF($B6="",0,COUNTIFS(SMIX2AT!$D$2:$D$200,$B6,SMIX2AT!$H$2:$H$200,"P1"))</f>
        <v>0</v>
      </c>
      <c r="E6" s="0" t="n">
        <f aca="false">MAX(0.5,MIN(1.5,1+IF($B6="",0,SUMPRODUCT((SMIX2AT!$D$2:$D$200=$B6)*(SMIX2AT!$H$2:$H$200="P1")*SMIX2AT!$I$2:$I$200*0.01))))</f>
        <v>1</v>
      </c>
      <c r="F6" s="0" t="n">
        <f aca="false">IF($B6="",0,COUNTIFS(SMIX2AT!$D$2:$D$200,$B6,SMIX2AT!$H$2:$H$200,"P2"))</f>
        <v>0</v>
      </c>
      <c r="G6" s="0" t="n">
        <f aca="false">MAX(0.5,MIN(1.5,1+IF($B6="",0,SUMPRODUCT((SMIX2AT!$D$2:$D$200=$B6)*(SMIX2AT!$H$2:$H$200="P2")*SMIX2AT!$I$2:$I$200*0.01))))</f>
        <v>1</v>
      </c>
      <c r="H6" s="0" t="n">
        <f aca="false">IF($B6="",0,COUNTIFS(SMIX2AT!$D$2:$D$200,$B6,SMIX2AT!$H$2:$H$200,"P3"))</f>
        <v>0</v>
      </c>
      <c r="I6" s="0" t="n">
        <f aca="false">MAX(0.5,MIN(1.5,1+IF($B6="",0,SUMPRODUCT((SMIX2AT!$D$2:$D$200=$B6)*(SMIX2AT!$H$2:$H$200="P3")*SMIX2AT!$I$2:$I$200*0.01))))</f>
        <v>1</v>
      </c>
      <c r="J6" s="0" t="n">
        <f aca="false">IF($B6="",0,COUNTIFS(SMIX2AT!$D$2:$D$200,$B6,SMIX2AT!$H$2:$H$200,"P4"))</f>
        <v>0</v>
      </c>
      <c r="K6" s="0" t="n">
        <f aca="false">MAX(0.5,MIN(1.5,1+IF($B6="",0,SUMPRODUCT((SMIX2AT!$D$2:$D$200=$B6)*(SMIX2AT!$H$2:$H$200="P4")*SMIX2AT!$I$2:$I$200*0.01))))</f>
        <v>1</v>
      </c>
      <c r="L6" s="0" t="n">
        <f aca="false">IF($B6="",0,COUNTIFS(SMIX2AT!$D$2:$D$200,$B6,SMIX2AT!$H$2:$H$200,"P5"))</f>
        <v>0</v>
      </c>
      <c r="M6" s="0" t="n">
        <f aca="false">MAX(0.5,MIN(1.5,1+IF($B6="",0,SUMPRODUCT((SMIX2AT!$D$2:$D$200=$B6)*(SMIX2AT!$H$2:$H$200="P5")*SMIX2AT!$I$2:$I$200*0.01))))</f>
        <v>1</v>
      </c>
      <c r="N6" s="0" t="n">
        <f aca="false">IF($B6="",0,IFERROR(SUMPRODUCT((SMIX2AT!$D$2:$D$200=$B6)*SMIX2AT!$I$2:$I$200),0))</f>
        <v>0</v>
      </c>
      <c r="O6" s="0" t="n">
        <f aca="false">D6+F6+H6+J6+L6</f>
        <v>0</v>
      </c>
    </row>
    <row r="7" customFormat="false" ht="15.75" hidden="false" customHeight="false" outlineLevel="0" collapsed="false">
      <c r="A7" s="0" t="s">
        <v>71</v>
      </c>
      <c r="C7" s="0" t="s">
        <v>72</v>
      </c>
      <c r="D7" s="0" t="n">
        <f aca="false">IF($B7="",0,COUNTIFS(SMIX2AT!$D$2:$D$200,$B7,SMIX2AT!$H$2:$H$200,"P1"))</f>
        <v>0</v>
      </c>
      <c r="E7" s="0" t="n">
        <f aca="false">MAX(0.5,MIN(1.5,1+IF($B7="",0,SUMPRODUCT((SMIX2AT!$D$2:$D$200=$B7)*(SMIX2AT!$H$2:$H$200="P1")*SMIX2AT!$I$2:$I$200*0.01))))</f>
        <v>1</v>
      </c>
      <c r="F7" s="0" t="n">
        <f aca="false">IF($B7="",0,COUNTIFS(SMIX2AT!$D$2:$D$200,$B7,SMIX2AT!$H$2:$H$200,"P2"))</f>
        <v>0</v>
      </c>
      <c r="G7" s="0" t="n">
        <f aca="false">MAX(0.5,MIN(1.5,1+IF($B7="",0,SUMPRODUCT((SMIX2AT!$D$2:$D$200=$B7)*(SMIX2AT!$H$2:$H$200="P2")*SMIX2AT!$I$2:$I$200*0.01))))</f>
        <v>1</v>
      </c>
      <c r="H7" s="0" t="n">
        <f aca="false">IF($B7="",0,COUNTIFS(SMIX2AT!$D$2:$D$200,$B7,SMIX2AT!$H$2:$H$200,"P3"))</f>
        <v>0</v>
      </c>
      <c r="I7" s="0" t="n">
        <f aca="false">MAX(0.5,MIN(1.5,1+IF($B7="",0,SUMPRODUCT((SMIX2AT!$D$2:$D$200=$B7)*(SMIX2AT!$H$2:$H$200="P3")*SMIX2AT!$I$2:$I$200*0.01))))</f>
        <v>1</v>
      </c>
      <c r="J7" s="0" t="n">
        <f aca="false">IF($B7="",0,COUNTIFS(SMIX2AT!$D$2:$D$200,$B7,SMIX2AT!$H$2:$H$200,"P4"))</f>
        <v>0</v>
      </c>
      <c r="K7" s="0" t="n">
        <f aca="false">MAX(0.5,MIN(1.5,1+IF($B7="",0,SUMPRODUCT((SMIX2AT!$D$2:$D$200=$B7)*(SMIX2AT!$H$2:$H$200="P4")*SMIX2AT!$I$2:$I$200*0.01))))</f>
        <v>1</v>
      </c>
      <c r="L7" s="0" t="n">
        <f aca="false">IF($B7="",0,COUNTIFS(SMIX2AT!$D$2:$D$200,$B7,SMIX2AT!$H$2:$H$200,"P5"))</f>
        <v>0</v>
      </c>
      <c r="M7" s="0" t="n">
        <f aca="false">MAX(0.5,MIN(1.5,1+IF($B7="",0,SUMPRODUCT((SMIX2AT!$D$2:$D$200=$B7)*(SMIX2AT!$H$2:$H$200="P5")*SMIX2AT!$I$2:$I$200*0.01))))</f>
        <v>1</v>
      </c>
      <c r="N7" s="0" t="n">
        <f aca="false">IF($B7="",0,IFERROR(SUMPRODUCT((SMIX2AT!$D$2:$D$200=$B7)*SMIX2AT!$I$2:$I$200),0))</f>
        <v>0</v>
      </c>
      <c r="O7" s="0" t="n">
        <f aca="false">D7+F7+H7+J7+L7</f>
        <v>0</v>
      </c>
    </row>
    <row r="8" customFormat="false" ht="15.75" hidden="false" customHeight="false" outlineLevel="0" collapsed="false">
      <c r="A8" s="0" t="s">
        <v>73</v>
      </c>
      <c r="C8" s="0" t="s">
        <v>74</v>
      </c>
      <c r="D8" s="0" t="n">
        <f aca="false">IF($B8="",0,COUNTIFS(SMIX2AT!$D$2:$D$200,$B8,SMIX2AT!$H$2:$H$200,"P1"))</f>
        <v>0</v>
      </c>
      <c r="E8" s="0" t="n">
        <f aca="false">MAX(0.5,MIN(1.5,1+IF($B8="",0,SUMPRODUCT((SMIX2AT!$D$2:$D$200=$B8)*(SMIX2AT!$H$2:$H$200="P1")*SMIX2AT!$I$2:$I$200*0.01))))</f>
        <v>1</v>
      </c>
      <c r="F8" s="0" t="n">
        <f aca="false">IF($B8="",0,COUNTIFS(SMIX2AT!$D$2:$D$200,$B8,SMIX2AT!$H$2:$H$200,"P2"))</f>
        <v>0</v>
      </c>
      <c r="G8" s="0" t="n">
        <f aca="false">MAX(0.5,MIN(1.5,1+IF($B8="",0,SUMPRODUCT((SMIX2AT!$D$2:$D$200=$B8)*(SMIX2AT!$H$2:$H$200="P2")*SMIX2AT!$I$2:$I$200*0.01))))</f>
        <v>1</v>
      </c>
      <c r="H8" s="0" t="n">
        <f aca="false">IF($B8="",0,COUNTIFS(SMIX2AT!$D$2:$D$200,$B8,SMIX2AT!$H$2:$H$200,"P3"))</f>
        <v>0</v>
      </c>
      <c r="I8" s="0" t="n">
        <f aca="false">MAX(0.5,MIN(1.5,1+IF($B8="",0,SUMPRODUCT((SMIX2AT!$D$2:$D$200=$B8)*(SMIX2AT!$H$2:$H$200="P3")*SMIX2AT!$I$2:$I$200*0.01))))</f>
        <v>1</v>
      </c>
      <c r="J8" s="0" t="n">
        <f aca="false">IF($B8="",0,COUNTIFS(SMIX2AT!$D$2:$D$200,$B8,SMIX2AT!$H$2:$H$200,"P4"))</f>
        <v>0</v>
      </c>
      <c r="K8" s="0" t="n">
        <f aca="false">MAX(0.5,MIN(1.5,1+IF($B8="",0,SUMPRODUCT((SMIX2AT!$D$2:$D$200=$B8)*(SMIX2AT!$H$2:$H$200="P4")*SMIX2AT!$I$2:$I$200*0.01))))</f>
        <v>1</v>
      </c>
      <c r="L8" s="0" t="n">
        <f aca="false">IF($B8="",0,COUNTIFS(SMIX2AT!$D$2:$D$200,$B8,SMIX2AT!$H$2:$H$200,"P5"))</f>
        <v>0</v>
      </c>
      <c r="M8" s="0" t="n">
        <f aca="false">MAX(0.5,MIN(1.5,1+IF($B8="",0,SUMPRODUCT((SMIX2AT!$D$2:$D$200=$B8)*(SMIX2AT!$H$2:$H$200="P5")*SMIX2AT!$I$2:$I$200*0.01))))</f>
        <v>1</v>
      </c>
      <c r="N8" s="0" t="n">
        <f aca="false">IF($B8="",0,IFERROR(SUMPRODUCT((SMIX2AT!$D$2:$D$200=$B8)*SMIX2AT!$I$2:$I$200),0))</f>
        <v>0</v>
      </c>
      <c r="O8" s="0" t="n">
        <f aca="false">D8+F8+H8+J8+L8</f>
        <v>0</v>
      </c>
    </row>
    <row r="9" customFormat="false" ht="15.75" hidden="false" customHeight="false" outlineLevel="0" collapsed="false">
      <c r="A9" s="0" t="s">
        <v>75</v>
      </c>
      <c r="C9" s="0" t="s">
        <v>76</v>
      </c>
      <c r="D9" s="0" t="n">
        <f aca="false">IF($B9="",0,COUNTIFS(SMIX2AT!$D$2:$D$200,$B9,SMIX2AT!$H$2:$H$200,"P1"))</f>
        <v>0</v>
      </c>
      <c r="E9" s="0" t="n">
        <f aca="false">MAX(0.5,MIN(1.5,1+IF($B9="",0,SUMPRODUCT((SMIX2AT!$D$2:$D$200=$B9)*(SMIX2AT!$H$2:$H$200="P1")*SMIX2AT!$I$2:$I$200*0.01))))</f>
        <v>1</v>
      </c>
      <c r="F9" s="0" t="n">
        <f aca="false">IF($B9="",0,COUNTIFS(SMIX2AT!$D$2:$D$200,$B9,SMIX2AT!$H$2:$H$200,"P2"))</f>
        <v>0</v>
      </c>
      <c r="G9" s="0" t="n">
        <f aca="false">MAX(0.5,MIN(1.5,1+IF($B9="",0,SUMPRODUCT((SMIX2AT!$D$2:$D$200=$B9)*(SMIX2AT!$H$2:$H$200="P2")*SMIX2AT!$I$2:$I$200*0.01))))</f>
        <v>1</v>
      </c>
      <c r="H9" s="0" t="n">
        <f aca="false">IF($B9="",0,COUNTIFS(SMIX2AT!$D$2:$D$200,$B9,SMIX2AT!$H$2:$H$200,"P3"))</f>
        <v>0</v>
      </c>
      <c r="I9" s="0" t="n">
        <f aca="false">MAX(0.5,MIN(1.5,1+IF($B9="",0,SUMPRODUCT((SMIX2AT!$D$2:$D$200=$B9)*(SMIX2AT!$H$2:$H$200="P3")*SMIX2AT!$I$2:$I$200*0.01))))</f>
        <v>1</v>
      </c>
      <c r="J9" s="0" t="n">
        <f aca="false">IF($B9="",0,COUNTIFS(SMIX2AT!$D$2:$D$200,$B9,SMIX2AT!$H$2:$H$200,"P4"))</f>
        <v>0</v>
      </c>
      <c r="K9" s="0" t="n">
        <f aca="false">MAX(0.5,MIN(1.5,1+IF($B9="",0,SUMPRODUCT((SMIX2AT!$D$2:$D$200=$B9)*(SMIX2AT!$H$2:$H$200="P4")*SMIX2AT!$I$2:$I$200*0.01))))</f>
        <v>1</v>
      </c>
      <c r="L9" s="0" t="n">
        <f aca="false">IF($B9="",0,COUNTIFS(SMIX2AT!$D$2:$D$200,$B9,SMIX2AT!$H$2:$H$200,"P5"))</f>
        <v>0</v>
      </c>
      <c r="M9" s="0" t="n">
        <f aca="false">MAX(0.5,MIN(1.5,1+IF($B9="",0,SUMPRODUCT((SMIX2AT!$D$2:$D$200=$B9)*(SMIX2AT!$H$2:$H$200="P5")*SMIX2AT!$I$2:$I$200*0.01))))</f>
        <v>1</v>
      </c>
      <c r="N9" s="0" t="n">
        <f aca="false">IF($B9="",0,IFERROR(SUMPRODUCT((SMIX2AT!$D$2:$D$200=$B9)*SMIX2AT!$I$2:$I$200),0))</f>
        <v>0</v>
      </c>
      <c r="O9" s="0" t="n">
        <f aca="false">D9+F9+H9+J9+L9</f>
        <v>0</v>
      </c>
    </row>
    <row r="10" customFormat="false" ht="15.75" hidden="false" customHeight="false" outlineLevel="0" collapsed="false">
      <c r="A10" s="0" t="s">
        <v>77</v>
      </c>
      <c r="C10" s="0" t="s">
        <v>78</v>
      </c>
      <c r="D10" s="0" t="n">
        <f aca="false">IF($B10="",0,COUNTIFS(SMIX2AT!$D$2:$D$200,$B10,SMIX2AT!$H$2:$H$200,"P1"))</f>
        <v>0</v>
      </c>
      <c r="E10" s="0" t="n">
        <f aca="false">MAX(0.5,MIN(1.5,1+IF($B10="",0,SUMPRODUCT((SMIX2AT!$D$2:$D$200=$B10)*(SMIX2AT!$H$2:$H$200="P1")*SMIX2AT!$I$2:$I$200*0.01))))</f>
        <v>1</v>
      </c>
      <c r="F10" s="0" t="n">
        <f aca="false">IF($B10="",0,COUNTIFS(SMIX2AT!$D$2:$D$200,$B10,SMIX2AT!$H$2:$H$200,"P2"))</f>
        <v>0</v>
      </c>
      <c r="G10" s="0" t="n">
        <f aca="false">MAX(0.5,MIN(1.5,1+IF($B10="",0,SUMPRODUCT((SMIX2AT!$D$2:$D$200=$B10)*(SMIX2AT!$H$2:$H$200="P2")*SMIX2AT!$I$2:$I$200*0.01))))</f>
        <v>1</v>
      </c>
      <c r="H10" s="0" t="n">
        <f aca="false">IF($B10="",0,COUNTIFS(SMIX2AT!$D$2:$D$200,$B10,SMIX2AT!$H$2:$H$200,"P3"))</f>
        <v>0</v>
      </c>
      <c r="I10" s="0" t="n">
        <f aca="false">MAX(0.5,MIN(1.5,1+IF($B10="",0,SUMPRODUCT((SMIX2AT!$D$2:$D$200=$B10)*(SMIX2AT!$H$2:$H$200="P3")*SMIX2AT!$I$2:$I$200*0.01))))</f>
        <v>1</v>
      </c>
      <c r="J10" s="0" t="n">
        <f aca="false">IF($B10="",0,COUNTIFS(SMIX2AT!$D$2:$D$200,$B10,SMIX2AT!$H$2:$H$200,"P4"))</f>
        <v>0</v>
      </c>
      <c r="K10" s="0" t="n">
        <f aca="false">MAX(0.5,MIN(1.5,1+IF($B10="",0,SUMPRODUCT((SMIX2AT!$D$2:$D$200=$B10)*(SMIX2AT!$H$2:$H$200="P4")*SMIX2AT!$I$2:$I$200*0.01))))</f>
        <v>1</v>
      </c>
      <c r="L10" s="0" t="n">
        <f aca="false">IF($B10="",0,COUNTIFS(SMIX2AT!$D$2:$D$200,$B10,SMIX2AT!$H$2:$H$200,"P5"))</f>
        <v>0</v>
      </c>
      <c r="M10" s="0" t="n">
        <f aca="false">MAX(0.5,MIN(1.5,1+IF($B10="",0,SUMPRODUCT((SMIX2AT!$D$2:$D$200=$B10)*(SMIX2AT!$H$2:$H$200="P5")*SMIX2AT!$I$2:$I$200*0.01))))</f>
        <v>1</v>
      </c>
      <c r="N10" s="0" t="n">
        <f aca="false">IF($B10="",0,IFERROR(SUMPRODUCT((SMIX2AT!$D$2:$D$200=$B10)*SMIX2AT!$I$2:$I$200),0))</f>
        <v>0</v>
      </c>
      <c r="O10" s="0" t="n">
        <f aca="false">D10+F10+H10+J10+L10</f>
        <v>0</v>
      </c>
    </row>
    <row r="11" customFormat="false" ht="15.75" hidden="false" customHeight="false" outlineLevel="0" collapsed="false">
      <c r="A11" s="0" t="s">
        <v>79</v>
      </c>
      <c r="C11" s="0" t="s">
        <v>80</v>
      </c>
      <c r="D11" s="0" t="n">
        <f aca="false">IF($B11="",0,COUNTIFS(SMIX2AT!$D$2:$D$200,$B11,SMIX2AT!$H$2:$H$200,"P1"))</f>
        <v>0</v>
      </c>
      <c r="E11" s="0" t="n">
        <f aca="false">MAX(0.5,MIN(1.5,1+IF($B11="",0,SUMPRODUCT((SMIX2AT!$D$2:$D$200=$B11)*(SMIX2AT!$H$2:$H$200="P1")*SMIX2AT!$I$2:$I$200*0.01))))</f>
        <v>1</v>
      </c>
      <c r="F11" s="0" t="n">
        <f aca="false">IF($B11="",0,COUNTIFS(SMIX2AT!$D$2:$D$200,$B11,SMIX2AT!$H$2:$H$200,"P2"))</f>
        <v>0</v>
      </c>
      <c r="G11" s="0" t="n">
        <f aca="false">MAX(0.5,MIN(1.5,1+IF($B11="",0,SUMPRODUCT((SMIX2AT!$D$2:$D$200=$B11)*(SMIX2AT!$H$2:$H$200="P2")*SMIX2AT!$I$2:$I$200*0.01))))</f>
        <v>1</v>
      </c>
      <c r="H11" s="0" t="n">
        <f aca="false">IF($B11="",0,COUNTIFS(SMIX2AT!$D$2:$D$200,$B11,SMIX2AT!$H$2:$H$200,"P3"))</f>
        <v>0</v>
      </c>
      <c r="I11" s="0" t="n">
        <f aca="false">MAX(0.5,MIN(1.5,1+IF($B11="",0,SUMPRODUCT((SMIX2AT!$D$2:$D$200=$B11)*(SMIX2AT!$H$2:$H$200="P3")*SMIX2AT!$I$2:$I$200*0.01))))</f>
        <v>1</v>
      </c>
      <c r="J11" s="0" t="n">
        <f aca="false">IF($B11="",0,COUNTIFS(SMIX2AT!$D$2:$D$200,$B11,SMIX2AT!$H$2:$H$200,"P4"))</f>
        <v>0</v>
      </c>
      <c r="K11" s="0" t="n">
        <f aca="false">MAX(0.5,MIN(1.5,1+IF($B11="",0,SUMPRODUCT((SMIX2AT!$D$2:$D$200=$B11)*(SMIX2AT!$H$2:$H$200="P4")*SMIX2AT!$I$2:$I$200*0.01))))</f>
        <v>1</v>
      </c>
      <c r="L11" s="0" t="n">
        <f aca="false">IF($B11="",0,COUNTIFS(SMIX2AT!$D$2:$D$200,$B11,SMIX2AT!$H$2:$H$200,"P5"))</f>
        <v>0</v>
      </c>
      <c r="M11" s="0" t="n">
        <f aca="false">MAX(0.5,MIN(1.5,1+IF($B11="",0,SUMPRODUCT((SMIX2AT!$D$2:$D$200=$B11)*(SMIX2AT!$H$2:$H$200="P5")*SMIX2AT!$I$2:$I$200*0.01))))</f>
        <v>1</v>
      </c>
      <c r="N11" s="0" t="n">
        <f aca="false">IF($B11="",0,IFERROR(SUMPRODUCT((SMIX2AT!$D$2:$D$200=$B11)*SMIX2AT!$I$2:$I$200),0))</f>
        <v>0</v>
      </c>
      <c r="O11" s="0" t="n">
        <f aca="false">D11+F11+H11+J11+L11</f>
        <v>0</v>
      </c>
    </row>
    <row r="12" customFormat="false" ht="15.75" hidden="false" customHeight="false" outlineLevel="0" collapsed="false">
      <c r="A12" s="0" t="s">
        <v>81</v>
      </c>
      <c r="C12" s="0" t="s">
        <v>82</v>
      </c>
      <c r="D12" s="0" t="n">
        <f aca="false">IF($B12="",0,COUNTIFS(SMIX2AT!$D$2:$D$200,$B12,SMIX2AT!$H$2:$H$200,"P1"))</f>
        <v>0</v>
      </c>
      <c r="E12" s="0" t="n">
        <f aca="false">MAX(0.5,MIN(1.5,1+IF($B12="",0,SUMPRODUCT((SMIX2AT!$D$2:$D$200=$B12)*(SMIX2AT!$H$2:$H$200="P1")*SMIX2AT!$I$2:$I$200*0.01))))</f>
        <v>1</v>
      </c>
      <c r="F12" s="0" t="n">
        <f aca="false">IF($B12="",0,COUNTIFS(SMIX2AT!$D$2:$D$200,$B12,SMIX2AT!$H$2:$H$200,"P2"))</f>
        <v>0</v>
      </c>
      <c r="G12" s="0" t="n">
        <f aca="false">MAX(0.5,MIN(1.5,1+IF($B12="",0,SUMPRODUCT((SMIX2AT!$D$2:$D$200=$B12)*(SMIX2AT!$H$2:$H$200="P2")*SMIX2AT!$I$2:$I$200*0.01))))</f>
        <v>1</v>
      </c>
      <c r="H12" s="0" t="n">
        <f aca="false">IF($B12="",0,COUNTIFS(SMIX2AT!$D$2:$D$200,$B12,SMIX2AT!$H$2:$H$200,"P3"))</f>
        <v>0</v>
      </c>
      <c r="I12" s="0" t="n">
        <f aca="false">MAX(0.5,MIN(1.5,1+IF($B12="",0,SUMPRODUCT((SMIX2AT!$D$2:$D$200=$B12)*(SMIX2AT!$H$2:$H$200="P3")*SMIX2AT!$I$2:$I$200*0.01))))</f>
        <v>1</v>
      </c>
      <c r="J12" s="0" t="n">
        <f aca="false">IF($B12="",0,COUNTIFS(SMIX2AT!$D$2:$D$200,$B12,SMIX2AT!$H$2:$H$200,"P4"))</f>
        <v>0</v>
      </c>
      <c r="K12" s="0" t="n">
        <f aca="false">MAX(0.5,MIN(1.5,1+IF($B12="",0,SUMPRODUCT((SMIX2AT!$D$2:$D$200=$B12)*(SMIX2AT!$H$2:$H$200="P4")*SMIX2AT!$I$2:$I$200*0.01))))</f>
        <v>1</v>
      </c>
      <c r="L12" s="0" t="n">
        <f aca="false">IF($B12="",0,COUNTIFS(SMIX2AT!$D$2:$D$200,$B12,SMIX2AT!$H$2:$H$200,"P5"))</f>
        <v>0</v>
      </c>
      <c r="M12" s="0" t="n">
        <f aca="false">MAX(0.5,MIN(1.5,1+IF($B12="",0,SUMPRODUCT((SMIX2AT!$D$2:$D$200=$B12)*(SMIX2AT!$H$2:$H$200="P5")*SMIX2AT!$I$2:$I$200*0.01))))</f>
        <v>1</v>
      </c>
      <c r="N12" s="0" t="n">
        <f aca="false">IF($B12="",0,IFERROR(SUMPRODUCT((SMIX2AT!$D$2:$D$200=$B12)*SMIX2AT!$I$2:$I$200),0))</f>
        <v>0</v>
      </c>
      <c r="O12" s="0" t="n">
        <f aca="false">D12+F12+H12+J12+L12</f>
        <v>0</v>
      </c>
    </row>
    <row r="13" customFormat="false" ht="15.75" hidden="false" customHeight="false" outlineLevel="0" collapsed="false">
      <c r="A13" s="0" t="s">
        <v>83</v>
      </c>
      <c r="C13" s="0" t="s">
        <v>84</v>
      </c>
      <c r="D13" s="0" t="n">
        <f aca="false">IF($B13="",0,COUNTIFS(SMIX2AT!$D$2:$D$200,$B13,SMIX2AT!$H$2:$H$200,"P1"))</f>
        <v>0</v>
      </c>
      <c r="E13" s="0" t="n">
        <f aca="false">MAX(0.5,MIN(1.5,1+IF($B13="",0,SUMPRODUCT((SMIX2AT!$D$2:$D$200=$B13)*(SMIX2AT!$H$2:$H$200="P1")*SMIX2AT!$I$2:$I$200*0.01))))</f>
        <v>1</v>
      </c>
      <c r="F13" s="0" t="n">
        <f aca="false">IF($B13="",0,COUNTIFS(SMIX2AT!$D$2:$D$200,$B13,SMIX2AT!$H$2:$H$200,"P2"))</f>
        <v>0</v>
      </c>
      <c r="G13" s="0" t="n">
        <f aca="false">MAX(0.5,MIN(1.5,1+IF($B13="",0,SUMPRODUCT((SMIX2AT!$D$2:$D$200=$B13)*(SMIX2AT!$H$2:$H$200="P2")*SMIX2AT!$I$2:$I$200*0.01))))</f>
        <v>1</v>
      </c>
      <c r="H13" s="0" t="n">
        <f aca="false">IF($B13="",0,COUNTIFS(SMIX2AT!$D$2:$D$200,$B13,SMIX2AT!$H$2:$H$200,"P3"))</f>
        <v>0</v>
      </c>
      <c r="I13" s="0" t="n">
        <f aca="false">MAX(0.5,MIN(1.5,1+IF($B13="",0,SUMPRODUCT((SMIX2AT!$D$2:$D$200=$B13)*(SMIX2AT!$H$2:$H$200="P3")*SMIX2AT!$I$2:$I$200*0.01))))</f>
        <v>1</v>
      </c>
      <c r="J13" s="0" t="n">
        <f aca="false">IF($B13="",0,COUNTIFS(SMIX2AT!$D$2:$D$200,$B13,SMIX2AT!$H$2:$H$200,"P4"))</f>
        <v>0</v>
      </c>
      <c r="K13" s="0" t="n">
        <f aca="false">MAX(0.5,MIN(1.5,1+IF($B13="",0,SUMPRODUCT((SMIX2AT!$D$2:$D$200=$B13)*(SMIX2AT!$H$2:$H$200="P4")*SMIX2AT!$I$2:$I$200*0.01))))</f>
        <v>1</v>
      </c>
      <c r="L13" s="0" t="n">
        <f aca="false">IF($B13="",0,COUNTIFS(SMIX2AT!$D$2:$D$200,$B13,SMIX2AT!$H$2:$H$200,"P5"))</f>
        <v>0</v>
      </c>
      <c r="M13" s="0" t="n">
        <f aca="false">MAX(0.5,MIN(1.5,1+IF($B13="",0,SUMPRODUCT((SMIX2AT!$D$2:$D$200=$B13)*(SMIX2AT!$H$2:$H$200="P5")*SMIX2AT!$I$2:$I$200*0.01))))</f>
        <v>1</v>
      </c>
      <c r="N13" s="0" t="n">
        <f aca="false">IF($B13="",0,IFERROR(SUMPRODUCT((SMIX2AT!$D$2:$D$200=$B13)*SMIX2AT!$I$2:$I$200),0))</f>
        <v>0</v>
      </c>
      <c r="O13" s="0" t="n">
        <f aca="false">D13+F13+H13+J13+L13</f>
        <v>0</v>
      </c>
    </row>
    <row r="14" customFormat="false" ht="15.75" hidden="false" customHeight="false" outlineLevel="0" collapsed="false">
      <c r="A14" s="0" t="s">
        <v>85</v>
      </c>
      <c r="C14" s="0" t="s">
        <v>86</v>
      </c>
      <c r="D14" s="0" t="n">
        <f aca="false">IF($B14="",0,COUNTIFS(SMIX2AT!$D$2:$D$200,$B14,SMIX2AT!$H$2:$H$200,"P1"))</f>
        <v>0</v>
      </c>
      <c r="E14" s="0" t="n">
        <f aca="false">MAX(0.5,MIN(1.5,1+IF($B14="",0,SUMPRODUCT((SMIX2AT!$D$2:$D$200=$B14)*(SMIX2AT!$H$2:$H$200="P1")*SMIX2AT!$I$2:$I$200*0.01))))</f>
        <v>1</v>
      </c>
      <c r="F14" s="0" t="n">
        <f aca="false">IF($B14="",0,COUNTIFS(SMIX2AT!$D$2:$D$200,$B14,SMIX2AT!$H$2:$H$200,"P2"))</f>
        <v>0</v>
      </c>
      <c r="G14" s="0" t="n">
        <f aca="false">MAX(0.5,MIN(1.5,1+IF($B14="",0,SUMPRODUCT((SMIX2AT!$D$2:$D$200=$B14)*(SMIX2AT!$H$2:$H$200="P2")*SMIX2AT!$I$2:$I$200*0.01))))</f>
        <v>1</v>
      </c>
      <c r="H14" s="0" t="n">
        <f aca="false">IF($B14="",0,COUNTIFS(SMIX2AT!$D$2:$D$200,$B14,SMIX2AT!$H$2:$H$200,"P3"))</f>
        <v>0</v>
      </c>
      <c r="I14" s="0" t="n">
        <f aca="false">MAX(0.5,MIN(1.5,1+IF($B14="",0,SUMPRODUCT((SMIX2AT!$D$2:$D$200=$B14)*(SMIX2AT!$H$2:$H$200="P3")*SMIX2AT!$I$2:$I$200*0.01))))</f>
        <v>1</v>
      </c>
      <c r="J14" s="0" t="n">
        <f aca="false">IF($B14="",0,COUNTIFS(SMIX2AT!$D$2:$D$200,$B14,SMIX2AT!$H$2:$H$200,"P4"))</f>
        <v>0</v>
      </c>
      <c r="K14" s="0" t="n">
        <f aca="false">MAX(0.5,MIN(1.5,1+IF($B14="",0,SUMPRODUCT((SMIX2AT!$D$2:$D$200=$B14)*(SMIX2AT!$H$2:$H$200="P4")*SMIX2AT!$I$2:$I$200*0.01))))</f>
        <v>1</v>
      </c>
      <c r="L14" s="0" t="n">
        <f aca="false">IF($B14="",0,COUNTIFS(SMIX2AT!$D$2:$D$200,$B14,SMIX2AT!$H$2:$H$200,"P5"))</f>
        <v>0</v>
      </c>
      <c r="M14" s="0" t="n">
        <f aca="false">MAX(0.5,MIN(1.5,1+IF($B14="",0,SUMPRODUCT((SMIX2AT!$D$2:$D$200=$B14)*(SMIX2AT!$H$2:$H$200="P5")*SMIX2AT!$I$2:$I$200*0.01))))</f>
        <v>1</v>
      </c>
      <c r="N14" s="0" t="n">
        <f aca="false">IF($B14="",0,IFERROR(SUMPRODUCT((SMIX2AT!$D$2:$D$200=$B14)*SMIX2AT!$I$2:$I$200),0))</f>
        <v>0</v>
      </c>
      <c r="O14" s="0" t="n">
        <f aca="false">D14+F14+H14+J14+L14</f>
        <v>0</v>
      </c>
    </row>
    <row r="15" customFormat="false" ht="15.75" hidden="false" customHeight="false" outlineLevel="0" collapsed="false">
      <c r="A15" s="0" t="s">
        <v>87</v>
      </c>
      <c r="C15" s="0" t="s">
        <v>88</v>
      </c>
      <c r="D15" s="0" t="n">
        <f aca="false">IF($B15="",0,COUNTIFS(SMIX2AT!$D$2:$D$200,$B15,SMIX2AT!$H$2:$H$200,"P1"))</f>
        <v>0</v>
      </c>
      <c r="E15" s="0" t="n">
        <f aca="false">MAX(0.5,MIN(1.5,1+IF($B15="",0,SUMPRODUCT((SMIX2AT!$D$2:$D$200=$B15)*(SMIX2AT!$H$2:$H$200="P1")*SMIX2AT!$I$2:$I$200*0.01))))</f>
        <v>1</v>
      </c>
      <c r="F15" s="0" t="n">
        <f aca="false">IF($B15="",0,COUNTIFS(SMIX2AT!$D$2:$D$200,$B15,SMIX2AT!$H$2:$H$200,"P2"))</f>
        <v>0</v>
      </c>
      <c r="G15" s="0" t="n">
        <f aca="false">MAX(0.5,MIN(1.5,1+IF($B15="",0,SUMPRODUCT((SMIX2AT!$D$2:$D$200=$B15)*(SMIX2AT!$H$2:$H$200="P2")*SMIX2AT!$I$2:$I$200*0.01))))</f>
        <v>1</v>
      </c>
      <c r="H15" s="0" t="n">
        <f aca="false">IF($B15="",0,COUNTIFS(SMIX2AT!$D$2:$D$200,$B15,SMIX2AT!$H$2:$H$200,"P3"))</f>
        <v>0</v>
      </c>
      <c r="I15" s="0" t="n">
        <f aca="false">MAX(0.5,MIN(1.5,1+IF($B15="",0,SUMPRODUCT((SMIX2AT!$D$2:$D$200=$B15)*(SMIX2AT!$H$2:$H$200="P3")*SMIX2AT!$I$2:$I$200*0.01))))</f>
        <v>1</v>
      </c>
      <c r="J15" s="0" t="n">
        <f aca="false">IF($B15="",0,COUNTIFS(SMIX2AT!$D$2:$D$200,$B15,SMIX2AT!$H$2:$H$200,"P4"))</f>
        <v>0</v>
      </c>
      <c r="K15" s="0" t="n">
        <f aca="false">MAX(0.5,MIN(1.5,1+IF($B15="",0,SUMPRODUCT((SMIX2AT!$D$2:$D$200=$B15)*(SMIX2AT!$H$2:$H$200="P4")*SMIX2AT!$I$2:$I$200*0.01))))</f>
        <v>1</v>
      </c>
      <c r="L15" s="0" t="n">
        <f aca="false">IF($B15="",0,COUNTIFS(SMIX2AT!$D$2:$D$200,$B15,SMIX2AT!$H$2:$H$200,"P5"))</f>
        <v>0</v>
      </c>
      <c r="M15" s="0" t="n">
        <f aca="false">MAX(0.5,MIN(1.5,1+IF($B15="",0,SUMPRODUCT((SMIX2AT!$D$2:$D$200=$B15)*(SMIX2AT!$H$2:$H$200="P5")*SMIX2AT!$I$2:$I$200*0.01))))</f>
        <v>1</v>
      </c>
      <c r="N15" s="0" t="n">
        <f aca="false">IF($B15="",0,IFERROR(SUMPRODUCT((SMIX2AT!$D$2:$D$200=$B15)*SMIX2AT!$I$2:$I$200),0))</f>
        <v>0</v>
      </c>
      <c r="O15" s="0" t="n">
        <f aca="false">D15+F15+H15+J15+L15</f>
        <v>0</v>
      </c>
    </row>
    <row r="16" customFormat="false" ht="15.75" hidden="false" customHeight="false" outlineLevel="0" collapsed="false">
      <c r="A16" s="0" t="s">
        <v>89</v>
      </c>
      <c r="C16" s="0" t="s">
        <v>90</v>
      </c>
      <c r="D16" s="0" t="n">
        <f aca="false">IF($B16="",0,COUNTIFS(SMIX2AT!$D$2:$D$200,$B16,SMIX2AT!$H$2:$H$200,"P1"))</f>
        <v>0</v>
      </c>
      <c r="E16" s="0" t="n">
        <f aca="false">MAX(0.5,MIN(1.5,1+IF($B16="",0,SUMPRODUCT((SMIX2AT!$D$2:$D$200=$B16)*(SMIX2AT!$H$2:$H$200="P1")*SMIX2AT!$I$2:$I$200*0.01))))</f>
        <v>1</v>
      </c>
      <c r="F16" s="0" t="n">
        <f aca="false">IF($B16="",0,COUNTIFS(SMIX2AT!$D$2:$D$200,$B16,SMIX2AT!$H$2:$H$200,"P2"))</f>
        <v>0</v>
      </c>
      <c r="G16" s="0" t="n">
        <f aca="false">MAX(0.5,MIN(1.5,1+IF($B16="",0,SUMPRODUCT((SMIX2AT!$D$2:$D$200=$B16)*(SMIX2AT!$H$2:$H$200="P2")*SMIX2AT!$I$2:$I$200*0.01))))</f>
        <v>1</v>
      </c>
      <c r="H16" s="0" t="n">
        <f aca="false">IF($B16="",0,COUNTIFS(SMIX2AT!$D$2:$D$200,$B16,SMIX2AT!$H$2:$H$200,"P3"))</f>
        <v>0</v>
      </c>
      <c r="I16" s="0" t="n">
        <f aca="false">MAX(0.5,MIN(1.5,1+IF($B16="",0,SUMPRODUCT((SMIX2AT!$D$2:$D$200=$B16)*(SMIX2AT!$H$2:$H$200="P3")*SMIX2AT!$I$2:$I$200*0.01))))</f>
        <v>1</v>
      </c>
      <c r="J16" s="0" t="n">
        <f aca="false">IF($B16="",0,COUNTIFS(SMIX2AT!$D$2:$D$200,$B16,SMIX2AT!$H$2:$H$200,"P4"))</f>
        <v>0</v>
      </c>
      <c r="K16" s="0" t="n">
        <f aca="false">MAX(0.5,MIN(1.5,1+IF($B16="",0,SUMPRODUCT((SMIX2AT!$D$2:$D$200=$B16)*(SMIX2AT!$H$2:$H$200="P4")*SMIX2AT!$I$2:$I$200*0.01))))</f>
        <v>1</v>
      </c>
      <c r="L16" s="0" t="n">
        <f aca="false">IF($B16="",0,COUNTIFS(SMIX2AT!$D$2:$D$200,$B16,SMIX2AT!$H$2:$H$200,"P5"))</f>
        <v>0</v>
      </c>
      <c r="M16" s="0" t="n">
        <f aca="false">MAX(0.5,MIN(1.5,1+IF($B16="",0,SUMPRODUCT((SMIX2AT!$D$2:$D$200=$B16)*(SMIX2AT!$H$2:$H$200="P5")*SMIX2AT!$I$2:$I$200*0.01))))</f>
        <v>1</v>
      </c>
      <c r="N16" s="0" t="n">
        <f aca="false">IF($B16="",0,IFERROR(SUMPRODUCT((SMIX2AT!$D$2:$D$200=$B16)*SMIX2AT!$I$2:$I$200),0))</f>
        <v>0</v>
      </c>
      <c r="O16" s="0" t="n">
        <f aca="false">D16+F16+H16+J16+L16</f>
        <v>0</v>
      </c>
    </row>
    <row r="17" customFormat="false" ht="15.75" hidden="false" customHeight="false" outlineLevel="0" collapsed="false">
      <c r="A17" s="0" t="s">
        <v>91</v>
      </c>
      <c r="C17" s="0" t="s">
        <v>92</v>
      </c>
      <c r="D17" s="0" t="n">
        <f aca="false">IF($B17="",0,COUNTIFS(SMIX2AT!$D$2:$D$200,$B17,SMIX2AT!$H$2:$H$200,"P1"))</f>
        <v>0</v>
      </c>
      <c r="E17" s="0" t="n">
        <f aca="false">MAX(0.5,MIN(1.5,1+IF($B17="",0,SUMPRODUCT((SMIX2AT!$D$2:$D$200=$B17)*(SMIX2AT!$H$2:$H$200="P1")*SMIX2AT!$I$2:$I$200*0.01))))</f>
        <v>1</v>
      </c>
      <c r="F17" s="0" t="n">
        <f aca="false">IF($B17="",0,COUNTIFS(SMIX2AT!$D$2:$D$200,$B17,SMIX2AT!$H$2:$H$200,"P2"))</f>
        <v>0</v>
      </c>
      <c r="G17" s="0" t="n">
        <f aca="false">MAX(0.5,MIN(1.5,1+IF($B17="",0,SUMPRODUCT((SMIX2AT!$D$2:$D$200=$B17)*(SMIX2AT!$H$2:$H$200="P2")*SMIX2AT!$I$2:$I$200*0.01))))</f>
        <v>1</v>
      </c>
      <c r="H17" s="0" t="n">
        <f aca="false">IF($B17="",0,COUNTIFS(SMIX2AT!$D$2:$D$200,$B17,SMIX2AT!$H$2:$H$200,"P3"))</f>
        <v>0</v>
      </c>
      <c r="I17" s="0" t="n">
        <f aca="false">MAX(0.5,MIN(1.5,1+IF($B17="",0,SUMPRODUCT((SMIX2AT!$D$2:$D$200=$B17)*(SMIX2AT!$H$2:$H$200="P3")*SMIX2AT!$I$2:$I$200*0.01))))</f>
        <v>1</v>
      </c>
      <c r="J17" s="0" t="n">
        <f aca="false">IF($B17="",0,COUNTIFS(SMIX2AT!$D$2:$D$200,$B17,SMIX2AT!$H$2:$H$200,"P4"))</f>
        <v>0</v>
      </c>
      <c r="K17" s="0" t="n">
        <f aca="false">MAX(0.5,MIN(1.5,1+IF($B17="",0,SUMPRODUCT((SMIX2AT!$D$2:$D$200=$B17)*(SMIX2AT!$H$2:$H$200="P4")*SMIX2AT!$I$2:$I$200*0.01))))</f>
        <v>1</v>
      </c>
      <c r="L17" s="0" t="n">
        <f aca="false">IF($B17="",0,COUNTIFS(SMIX2AT!$D$2:$D$200,$B17,SMIX2AT!$H$2:$H$200,"P5"))</f>
        <v>0</v>
      </c>
      <c r="M17" s="0" t="n">
        <f aca="false">MAX(0.5,MIN(1.5,1+IF($B17="",0,SUMPRODUCT((SMIX2AT!$D$2:$D$200=$B17)*(SMIX2AT!$H$2:$H$200="P5")*SMIX2AT!$I$2:$I$200*0.01))))</f>
        <v>1</v>
      </c>
      <c r="N17" s="0" t="n">
        <f aca="false">IF($B17="",0,IFERROR(SUMPRODUCT((SMIX2AT!$D$2:$D$200=$B17)*SMIX2AT!$I$2:$I$200),0))</f>
        <v>0</v>
      </c>
      <c r="O17" s="0" t="n">
        <f aca="false">D17+F17+H17+J17+L17</f>
        <v>0</v>
      </c>
    </row>
    <row r="18" customFormat="false" ht="15.75" hidden="false" customHeight="false" outlineLevel="0" collapsed="false">
      <c r="A18" s="0" t="s">
        <v>93</v>
      </c>
      <c r="C18" s="0" t="s">
        <v>94</v>
      </c>
      <c r="D18" s="0" t="n">
        <f aca="false">IF($B18="",0,COUNTIFS(SMIX2AT!$D$2:$D$200,$B18,SMIX2AT!$H$2:$H$200,"P1"))</f>
        <v>0</v>
      </c>
      <c r="E18" s="0" t="n">
        <f aca="false">MAX(0.5,MIN(1.5,1+IF($B18="",0,SUMPRODUCT((SMIX2AT!$D$2:$D$200=$B18)*(SMIX2AT!$H$2:$H$200="P1")*SMIX2AT!$I$2:$I$200*0.01))))</f>
        <v>1</v>
      </c>
      <c r="F18" s="0" t="n">
        <f aca="false">IF($B18="",0,COUNTIFS(SMIX2AT!$D$2:$D$200,$B18,SMIX2AT!$H$2:$H$200,"P2"))</f>
        <v>0</v>
      </c>
      <c r="G18" s="0" t="n">
        <f aca="false">MAX(0.5,MIN(1.5,1+IF($B18="",0,SUMPRODUCT((SMIX2AT!$D$2:$D$200=$B18)*(SMIX2AT!$H$2:$H$200="P2")*SMIX2AT!$I$2:$I$200*0.01))))</f>
        <v>1</v>
      </c>
      <c r="H18" s="0" t="n">
        <f aca="false">IF($B18="",0,COUNTIFS(SMIX2AT!$D$2:$D$200,$B18,SMIX2AT!$H$2:$H$200,"P3"))</f>
        <v>0</v>
      </c>
      <c r="I18" s="0" t="n">
        <f aca="false">MAX(0.5,MIN(1.5,1+IF($B18="",0,SUMPRODUCT((SMIX2AT!$D$2:$D$200=$B18)*(SMIX2AT!$H$2:$H$200="P3")*SMIX2AT!$I$2:$I$200*0.01))))</f>
        <v>1</v>
      </c>
      <c r="J18" s="0" t="n">
        <f aca="false">IF($B18="",0,COUNTIFS(SMIX2AT!$D$2:$D$200,$B18,SMIX2AT!$H$2:$H$200,"P4"))</f>
        <v>0</v>
      </c>
      <c r="K18" s="0" t="n">
        <f aca="false">MAX(0.5,MIN(1.5,1+IF($B18="",0,SUMPRODUCT((SMIX2AT!$D$2:$D$200=$B18)*(SMIX2AT!$H$2:$H$200="P4")*SMIX2AT!$I$2:$I$200*0.01))))</f>
        <v>1</v>
      </c>
      <c r="L18" s="0" t="n">
        <f aca="false">IF($B18="",0,COUNTIFS(SMIX2AT!$D$2:$D$200,$B18,SMIX2AT!$H$2:$H$200,"P5"))</f>
        <v>0</v>
      </c>
      <c r="M18" s="0" t="n">
        <f aca="false">MAX(0.5,MIN(1.5,1+IF($B18="",0,SUMPRODUCT((SMIX2AT!$D$2:$D$200=$B18)*(SMIX2AT!$H$2:$H$200="P5")*SMIX2AT!$I$2:$I$200*0.01))))</f>
        <v>1</v>
      </c>
      <c r="N18" s="0" t="n">
        <f aca="false">IF($B18="",0,IFERROR(SUMPRODUCT((SMIX2AT!$D$2:$D$200=$B18)*SMIX2AT!$I$2:$I$200),0))</f>
        <v>0</v>
      </c>
      <c r="O18" s="0" t="n">
        <f aca="false">D18+F18+H18+J18+L18</f>
        <v>0</v>
      </c>
    </row>
    <row r="19" customFormat="false" ht="15.75" hidden="false" customHeight="false" outlineLevel="0" collapsed="false">
      <c r="A19" s="0" t="s">
        <v>95</v>
      </c>
      <c r="C19" s="0" t="s">
        <v>96</v>
      </c>
      <c r="D19" s="0" t="n">
        <f aca="false">IF($B19="",0,COUNTIFS(SMIX2AT!$D$2:$D$200,$B19,SMIX2AT!$H$2:$H$200,"P1"))</f>
        <v>0</v>
      </c>
      <c r="E19" s="0" t="n">
        <f aca="false">MAX(0.5,MIN(1.5,1+IF($B19="",0,SUMPRODUCT((SMIX2AT!$D$2:$D$200=$B19)*(SMIX2AT!$H$2:$H$200="P1")*SMIX2AT!$I$2:$I$200*0.01))))</f>
        <v>1</v>
      </c>
      <c r="F19" s="0" t="n">
        <f aca="false">IF($B19="",0,COUNTIFS(SMIX2AT!$D$2:$D$200,$B19,SMIX2AT!$H$2:$H$200,"P2"))</f>
        <v>0</v>
      </c>
      <c r="G19" s="0" t="n">
        <f aca="false">MAX(0.5,MIN(1.5,1+IF($B19="",0,SUMPRODUCT((SMIX2AT!$D$2:$D$200=$B19)*(SMIX2AT!$H$2:$H$200="P2")*SMIX2AT!$I$2:$I$200*0.01))))</f>
        <v>1</v>
      </c>
      <c r="H19" s="0" t="n">
        <f aca="false">IF($B19="",0,COUNTIFS(SMIX2AT!$D$2:$D$200,$B19,SMIX2AT!$H$2:$H$200,"P3"))</f>
        <v>0</v>
      </c>
      <c r="I19" s="0" t="n">
        <f aca="false">MAX(0.5,MIN(1.5,1+IF($B19="",0,SUMPRODUCT((SMIX2AT!$D$2:$D$200=$B19)*(SMIX2AT!$H$2:$H$200="P3")*SMIX2AT!$I$2:$I$200*0.01))))</f>
        <v>1</v>
      </c>
      <c r="J19" s="0" t="n">
        <f aca="false">IF($B19="",0,COUNTIFS(SMIX2AT!$D$2:$D$200,$B19,SMIX2AT!$H$2:$H$200,"P4"))</f>
        <v>0</v>
      </c>
      <c r="K19" s="0" t="n">
        <f aca="false">MAX(0.5,MIN(1.5,1+IF($B19="",0,SUMPRODUCT((SMIX2AT!$D$2:$D$200=$B19)*(SMIX2AT!$H$2:$H$200="P4")*SMIX2AT!$I$2:$I$200*0.01))))</f>
        <v>1</v>
      </c>
      <c r="L19" s="0" t="n">
        <f aca="false">IF($B19="",0,COUNTIFS(SMIX2AT!$D$2:$D$200,$B19,SMIX2AT!$H$2:$H$200,"P5"))</f>
        <v>0</v>
      </c>
      <c r="M19" s="0" t="n">
        <f aca="false">MAX(0.5,MIN(1.5,1+IF($B19="",0,SUMPRODUCT((SMIX2AT!$D$2:$D$200=$B19)*(SMIX2AT!$H$2:$H$200="P5")*SMIX2AT!$I$2:$I$200*0.01))))</f>
        <v>1</v>
      </c>
      <c r="N19" s="0" t="n">
        <f aca="false">IF($B19="",0,IFERROR(SUMPRODUCT((SMIX2AT!$D$2:$D$200=$B19)*SMIX2AT!$I$2:$I$200),0))</f>
        <v>0</v>
      </c>
      <c r="O19" s="0" t="n">
        <f aca="false">D19+F19+H19+J19+L19</f>
        <v>0</v>
      </c>
    </row>
    <row r="20" customFormat="false" ht="15.75" hidden="false" customHeight="false" outlineLevel="0" collapsed="false">
      <c r="A20" s="0" t="s">
        <v>97</v>
      </c>
      <c r="C20" s="0" t="s">
        <v>98</v>
      </c>
      <c r="D20" s="0" t="n">
        <f aca="false">IF($B20="",0,COUNTIFS(SMIX2AT!$D$2:$D$200,$B20,SMIX2AT!$H$2:$H$200,"P1"))</f>
        <v>0</v>
      </c>
      <c r="E20" s="0" t="n">
        <f aca="false">MAX(0.5,MIN(1.5,1+IF($B20="",0,SUMPRODUCT((SMIX2AT!$D$2:$D$200=$B20)*(SMIX2AT!$H$2:$H$200="P1")*SMIX2AT!$I$2:$I$200*0.01))))</f>
        <v>1</v>
      </c>
      <c r="F20" s="0" t="n">
        <f aca="false">IF($B20="",0,COUNTIFS(SMIX2AT!$D$2:$D$200,$B20,SMIX2AT!$H$2:$H$200,"P2"))</f>
        <v>0</v>
      </c>
      <c r="G20" s="0" t="n">
        <f aca="false">MAX(0.5,MIN(1.5,1+IF($B20="",0,SUMPRODUCT((SMIX2AT!$D$2:$D$200=$B20)*(SMIX2AT!$H$2:$H$200="P2")*SMIX2AT!$I$2:$I$200*0.01))))</f>
        <v>1</v>
      </c>
      <c r="H20" s="0" t="n">
        <f aca="false">IF($B20="",0,COUNTIFS(SMIX2AT!$D$2:$D$200,$B20,SMIX2AT!$H$2:$H$200,"P3"))</f>
        <v>0</v>
      </c>
      <c r="I20" s="0" t="n">
        <f aca="false">MAX(0.5,MIN(1.5,1+IF($B20="",0,SUMPRODUCT((SMIX2AT!$D$2:$D$200=$B20)*(SMIX2AT!$H$2:$H$200="P3")*SMIX2AT!$I$2:$I$200*0.01))))</f>
        <v>1</v>
      </c>
      <c r="J20" s="0" t="n">
        <f aca="false">IF($B20="",0,COUNTIFS(SMIX2AT!$D$2:$D$200,$B20,SMIX2AT!$H$2:$H$200,"P4"))</f>
        <v>0</v>
      </c>
      <c r="K20" s="0" t="n">
        <f aca="false">MAX(0.5,MIN(1.5,1+IF($B20="",0,SUMPRODUCT((SMIX2AT!$D$2:$D$200=$B20)*(SMIX2AT!$H$2:$H$200="P4")*SMIX2AT!$I$2:$I$200*0.01))))</f>
        <v>1</v>
      </c>
      <c r="L20" s="0" t="n">
        <f aca="false">IF($B20="",0,COUNTIFS(SMIX2AT!$D$2:$D$200,$B20,SMIX2AT!$H$2:$H$200,"P5"))</f>
        <v>0</v>
      </c>
      <c r="M20" s="0" t="n">
        <f aca="false">MAX(0.5,MIN(1.5,1+IF($B20="",0,SUMPRODUCT((SMIX2AT!$D$2:$D$200=$B20)*(SMIX2AT!$H$2:$H$200="P5")*SMIX2AT!$I$2:$I$200*0.01))))</f>
        <v>1</v>
      </c>
      <c r="N20" s="0" t="n">
        <f aca="false">IF($B20="",0,IFERROR(SUMPRODUCT((SMIX2AT!$D$2:$D$200=$B20)*SMIX2AT!$I$2:$I$200),0))</f>
        <v>0</v>
      </c>
      <c r="O20" s="0" t="n">
        <f aca="false">D20+F20+H20+J20+L20</f>
        <v>0</v>
      </c>
    </row>
    <row r="21" customFormat="false" ht="15.75" hidden="false" customHeight="false" outlineLevel="0" collapsed="false">
      <c r="A21" s="0" t="s">
        <v>99</v>
      </c>
      <c r="C21" s="0" t="s">
        <v>100</v>
      </c>
      <c r="D21" s="0" t="n">
        <f aca="false">IF($B21="",0,COUNTIFS(SMIX2AT!$D$2:$D$200,$B21,SMIX2AT!$H$2:$H$200,"P1"))</f>
        <v>0</v>
      </c>
      <c r="E21" s="0" t="n">
        <f aca="false">MAX(0.5,MIN(1.5,1+IF($B21="",0,SUMPRODUCT((SMIX2AT!$D$2:$D$200=$B21)*(SMIX2AT!$H$2:$H$200="P1")*SMIX2AT!$I$2:$I$200*0.01))))</f>
        <v>1</v>
      </c>
      <c r="F21" s="0" t="n">
        <f aca="false">IF($B21="",0,COUNTIFS(SMIX2AT!$D$2:$D$200,$B21,SMIX2AT!$H$2:$H$200,"P2"))</f>
        <v>0</v>
      </c>
      <c r="G21" s="0" t="n">
        <f aca="false">MAX(0.5,MIN(1.5,1+IF($B21="",0,SUMPRODUCT((SMIX2AT!$D$2:$D$200=$B21)*(SMIX2AT!$H$2:$H$200="P2")*SMIX2AT!$I$2:$I$200*0.01))))</f>
        <v>1</v>
      </c>
      <c r="H21" s="0" t="n">
        <f aca="false">IF($B21="",0,COUNTIFS(SMIX2AT!$D$2:$D$200,$B21,SMIX2AT!$H$2:$H$200,"P3"))</f>
        <v>0</v>
      </c>
      <c r="I21" s="0" t="n">
        <f aca="false">MAX(0.5,MIN(1.5,1+IF($B21="",0,SUMPRODUCT((SMIX2AT!$D$2:$D$200=$B21)*(SMIX2AT!$H$2:$H$200="P3")*SMIX2AT!$I$2:$I$200*0.01))))</f>
        <v>1</v>
      </c>
      <c r="J21" s="0" t="n">
        <f aca="false">IF($B21="",0,COUNTIFS(SMIX2AT!$D$2:$D$200,$B21,SMIX2AT!$H$2:$H$200,"P4"))</f>
        <v>0</v>
      </c>
      <c r="K21" s="0" t="n">
        <f aca="false">MAX(0.5,MIN(1.5,1+IF($B21="",0,SUMPRODUCT((SMIX2AT!$D$2:$D$200=$B21)*(SMIX2AT!$H$2:$H$200="P4")*SMIX2AT!$I$2:$I$200*0.01))))</f>
        <v>1</v>
      </c>
      <c r="L21" s="0" t="n">
        <f aca="false">IF($B21="",0,COUNTIFS(SMIX2AT!$D$2:$D$200,$B21,SMIX2AT!$H$2:$H$200,"P5"))</f>
        <v>0</v>
      </c>
      <c r="M21" s="0" t="n">
        <f aca="false">MAX(0.5,MIN(1.5,1+IF($B21="",0,SUMPRODUCT((SMIX2AT!$D$2:$D$200=$B21)*(SMIX2AT!$H$2:$H$200="P5")*SMIX2AT!$I$2:$I$200*0.01))))</f>
        <v>1</v>
      </c>
      <c r="N21" s="0" t="n">
        <f aca="false">IF($B21="",0,IFERROR(SUMPRODUCT((SMIX2AT!$D$2:$D$200=$B21)*SMIX2AT!$I$2:$I$200),0))</f>
        <v>0</v>
      </c>
      <c r="O21" s="0" t="n">
        <f aca="false">D21+F21+H21+J21+L21</f>
        <v>0</v>
      </c>
    </row>
    <row r="22" customFormat="false" ht="15.75" hidden="false" customHeight="false" outlineLevel="0" collapsed="false">
      <c r="A22" s="0" t="s">
        <v>101</v>
      </c>
      <c r="C22" s="0" t="s">
        <v>102</v>
      </c>
      <c r="D22" s="0" t="n">
        <f aca="false">IF($B22="",0,COUNTIFS(SMIX2AT!$D$2:$D$200,$B22,SMIX2AT!$H$2:$H$200,"P1"))</f>
        <v>0</v>
      </c>
      <c r="E22" s="0" t="n">
        <f aca="false">MAX(0.5,MIN(1.5,1+IF($B22="",0,SUMPRODUCT((SMIX2AT!$D$2:$D$200=$B22)*(SMIX2AT!$H$2:$H$200="P1")*SMIX2AT!$I$2:$I$200*0.01))))</f>
        <v>1</v>
      </c>
      <c r="F22" s="0" t="n">
        <f aca="false">IF($B22="",0,COUNTIFS(SMIX2AT!$D$2:$D$200,$B22,SMIX2AT!$H$2:$H$200,"P2"))</f>
        <v>0</v>
      </c>
      <c r="G22" s="0" t="n">
        <f aca="false">MAX(0.5,MIN(1.5,1+IF($B22="",0,SUMPRODUCT((SMIX2AT!$D$2:$D$200=$B22)*(SMIX2AT!$H$2:$H$200="P2")*SMIX2AT!$I$2:$I$200*0.01))))</f>
        <v>1</v>
      </c>
      <c r="H22" s="0" t="n">
        <f aca="false">IF($B22="",0,COUNTIFS(SMIX2AT!$D$2:$D$200,$B22,SMIX2AT!$H$2:$H$200,"P3"))</f>
        <v>0</v>
      </c>
      <c r="I22" s="0" t="n">
        <f aca="false">MAX(0.5,MIN(1.5,1+IF($B22="",0,SUMPRODUCT((SMIX2AT!$D$2:$D$200=$B22)*(SMIX2AT!$H$2:$H$200="P3")*SMIX2AT!$I$2:$I$200*0.01))))</f>
        <v>1</v>
      </c>
      <c r="J22" s="0" t="n">
        <f aca="false">IF($B22="",0,COUNTIFS(SMIX2AT!$D$2:$D$200,$B22,SMIX2AT!$H$2:$H$200,"P4"))</f>
        <v>0</v>
      </c>
      <c r="K22" s="0" t="n">
        <f aca="false">MAX(0.5,MIN(1.5,1+IF($B22="",0,SUMPRODUCT((SMIX2AT!$D$2:$D$200=$B22)*(SMIX2AT!$H$2:$H$200="P4")*SMIX2AT!$I$2:$I$200*0.01))))</f>
        <v>1</v>
      </c>
      <c r="L22" s="0" t="n">
        <f aca="false">IF($B22="",0,COUNTIFS(SMIX2AT!$D$2:$D$200,$B22,SMIX2AT!$H$2:$H$200,"P5"))</f>
        <v>0</v>
      </c>
      <c r="M22" s="0" t="n">
        <f aca="false">MAX(0.5,MIN(1.5,1+IF($B22="",0,SUMPRODUCT((SMIX2AT!$D$2:$D$200=$B22)*(SMIX2AT!$H$2:$H$200="P5")*SMIX2AT!$I$2:$I$200*0.01))))</f>
        <v>1</v>
      </c>
      <c r="N22" s="0" t="n">
        <f aca="false">IF($B22="",0,IFERROR(SUMPRODUCT((SMIX2AT!$D$2:$D$200=$B22)*SMIX2AT!$I$2:$I$200),0))</f>
        <v>0</v>
      </c>
      <c r="O22" s="0" t="n">
        <f aca="false">D22+F22+H22+J22+L22</f>
        <v>0</v>
      </c>
    </row>
    <row r="23" customFormat="false" ht="15.75" hidden="false" customHeight="false" outlineLevel="0" collapsed="false">
      <c r="D23" s="0" t="n">
        <f aca="false">IF($B23="",0,COUNTIFS(SMIX2AT!$D$2:$D$200,$B23,SMIX2AT!$H$2:$H$200,"P1"))</f>
        <v>0</v>
      </c>
      <c r="E23" s="0" t="n">
        <f aca="false">MAX(0.5,MIN(1.5,1+IF($B23="",0,SUMPRODUCT((SMIX2AT!$D$2:$D$200=$B23)*(SMIX2AT!$H$2:$H$200="P1")*SMIX2AT!$I$2:$I$200*0.01))))</f>
        <v>1</v>
      </c>
      <c r="F23" s="0" t="n">
        <f aca="false">IF($B23="",0,COUNTIFS(SMIX2AT!$D$2:$D$200,$B23,SMIX2AT!$H$2:$H$200,"P2"))</f>
        <v>0</v>
      </c>
      <c r="G23" s="0" t="n">
        <f aca="false">MAX(0.5,MIN(1.5,1+IF($B23="",0,SUMPRODUCT((SMIX2AT!$D$2:$D$200=$B23)*(SMIX2AT!$H$2:$H$200="P2")*SMIX2AT!$I$2:$I$200*0.01))))</f>
        <v>1</v>
      </c>
      <c r="H23" s="0" t="n">
        <f aca="false">IF($B23="",0,COUNTIFS(SMIX2AT!$D$2:$D$200,$B23,SMIX2AT!$H$2:$H$200,"P3"))</f>
        <v>0</v>
      </c>
      <c r="I23" s="0" t="n">
        <f aca="false">MAX(0.5,MIN(1.5,1+IF($B23="",0,SUMPRODUCT((SMIX2AT!$D$2:$D$200=$B23)*(SMIX2AT!$H$2:$H$200="P3")*SMIX2AT!$I$2:$I$200*0.01))))</f>
        <v>1</v>
      </c>
      <c r="J23" s="0" t="n">
        <f aca="false">IF($B23="",0,COUNTIFS(SMIX2AT!$D$2:$D$200,$B23,SMIX2AT!$H$2:$H$200,"P4"))</f>
        <v>0</v>
      </c>
      <c r="K23" s="0" t="n">
        <f aca="false">MAX(0.5,MIN(1.5,1+IF($B23="",0,SUMPRODUCT((SMIX2AT!$D$2:$D$200=$B23)*(SMIX2AT!$H$2:$H$200="P4")*SMIX2AT!$I$2:$I$200*0.01))))</f>
        <v>1</v>
      </c>
      <c r="L23" s="0" t="n">
        <f aca="false">IF($B23="",0,COUNTIFS(SMIX2AT!$D$2:$D$200,$B23,SMIX2AT!$H$2:$H$200,"P5"))</f>
        <v>0</v>
      </c>
      <c r="M23" s="0" t="n">
        <f aca="false">MAX(0.5,MIN(1.5,1+IF($B23="",0,SUMPRODUCT((SMIX2AT!$D$2:$D$200=$B23)*(SMIX2AT!$H$2:$H$200="P5")*SMIX2AT!$I$2:$I$200*0.01))))</f>
        <v>1</v>
      </c>
      <c r="N23" s="0" t="n">
        <f aca="false">IF($B23="",0,IFERROR(SUMPRODUCT((SMIX2AT!$D$2:$D$200=$B23)*SMIX2AT!$I$2:$I$200),0))</f>
        <v>0</v>
      </c>
      <c r="O23" s="0" t="n">
        <f aca="false">D23+F23+H23+J23+L23</f>
        <v>0</v>
      </c>
    </row>
    <row r="24" customFormat="false" ht="15.75" hidden="false" customHeight="false" outlineLevel="0" collapsed="false">
      <c r="D24" s="0" t="n">
        <f aca="false">IF($B24="",0,COUNTIFS(SMIX2AT!$D$2:$D$200,$B24,SMIX2AT!$H$2:$H$200,"P1"))</f>
        <v>0</v>
      </c>
      <c r="E24" s="0" t="n">
        <f aca="false">MAX(0.5,MIN(1.5,1+IF($B24="",0,SUMPRODUCT((SMIX2AT!$D$2:$D$200=$B24)*(SMIX2AT!$H$2:$H$200="P1")*SMIX2AT!$I$2:$I$200*0.01))))</f>
        <v>1</v>
      </c>
      <c r="F24" s="0" t="n">
        <f aca="false">IF($B24="",0,COUNTIFS(SMIX2AT!$D$2:$D$200,$B24,SMIX2AT!$H$2:$H$200,"P2"))</f>
        <v>0</v>
      </c>
      <c r="G24" s="0" t="n">
        <f aca="false">MAX(0.5,MIN(1.5,1+IF($B24="",0,SUMPRODUCT((SMIX2AT!$D$2:$D$200=$B24)*(SMIX2AT!$H$2:$H$200="P2")*SMIX2AT!$I$2:$I$200*0.01))))</f>
        <v>1</v>
      </c>
      <c r="H24" s="0" t="n">
        <f aca="false">IF($B24="",0,COUNTIFS(SMIX2AT!$D$2:$D$200,$B24,SMIX2AT!$H$2:$H$200,"P3"))</f>
        <v>0</v>
      </c>
      <c r="I24" s="0" t="n">
        <f aca="false">MAX(0.5,MIN(1.5,1+IF($B24="",0,SUMPRODUCT((SMIX2AT!$D$2:$D$200=$B24)*(SMIX2AT!$H$2:$H$200="P3")*SMIX2AT!$I$2:$I$200*0.01))))</f>
        <v>1</v>
      </c>
      <c r="J24" s="0" t="n">
        <f aca="false">IF($B24="",0,COUNTIFS(SMIX2AT!$D$2:$D$200,$B24,SMIX2AT!$H$2:$H$200,"P4"))</f>
        <v>0</v>
      </c>
      <c r="K24" s="0" t="n">
        <f aca="false">MAX(0.5,MIN(1.5,1+IF($B24="",0,SUMPRODUCT((SMIX2AT!$D$2:$D$200=$B24)*(SMIX2AT!$H$2:$H$200="P4")*SMIX2AT!$I$2:$I$200*0.01))))</f>
        <v>1</v>
      </c>
      <c r="L24" s="0" t="n">
        <f aca="false">IF($B24="",0,COUNTIFS(SMIX2AT!$D$2:$D$200,$B24,SMIX2AT!$H$2:$H$200,"P5"))</f>
        <v>0</v>
      </c>
      <c r="M24" s="0" t="n">
        <f aca="false">MAX(0.5,MIN(1.5,1+IF($B24="",0,SUMPRODUCT((SMIX2AT!$D$2:$D$200=$B24)*(SMIX2AT!$H$2:$H$200="P5")*SMIX2AT!$I$2:$I$200*0.01))))</f>
        <v>1</v>
      </c>
      <c r="N24" s="0" t="n">
        <f aca="false">IF($B24="",0,IFERROR(SUMPRODUCT((SMIX2AT!$D$2:$D$200=$B24)*SMIX2AT!$I$2:$I$200),0))</f>
        <v>0</v>
      </c>
      <c r="O24" s="0" t="n">
        <f aca="false">D24+F24+H24+J24+L24</f>
        <v>0</v>
      </c>
    </row>
    <row r="25" customFormat="false" ht="15.75" hidden="false" customHeight="false" outlineLevel="0" collapsed="false">
      <c r="D25" s="0" t="n">
        <f aca="false">IF($B25="",0,COUNTIFS(SMIX2AT!$D$2:$D$200,$B25,SMIX2AT!$H$2:$H$200,"P1"))</f>
        <v>0</v>
      </c>
      <c r="E25" s="0" t="n">
        <f aca="false">MAX(0.5,MIN(1.5,1+IF($B25="",0,SUMPRODUCT((SMIX2AT!$D$2:$D$200=$B25)*(SMIX2AT!$H$2:$H$200="P1")*SMIX2AT!$I$2:$I$200*0.01))))</f>
        <v>1</v>
      </c>
      <c r="F25" s="0" t="n">
        <f aca="false">IF($B25="",0,COUNTIFS(SMIX2AT!$D$2:$D$200,$B25,SMIX2AT!$H$2:$H$200,"P2"))</f>
        <v>0</v>
      </c>
      <c r="G25" s="0" t="n">
        <f aca="false">MAX(0.5,MIN(1.5,1+IF($B25="",0,SUMPRODUCT((SMIX2AT!$D$2:$D$200=$B25)*(SMIX2AT!$H$2:$H$200="P2")*SMIX2AT!$I$2:$I$200*0.01))))</f>
        <v>1</v>
      </c>
      <c r="H25" s="0" t="n">
        <f aca="false">IF($B25="",0,COUNTIFS(SMIX2AT!$D$2:$D$200,$B25,SMIX2AT!$H$2:$H$200,"P3"))</f>
        <v>0</v>
      </c>
      <c r="I25" s="0" t="n">
        <f aca="false">MAX(0.5,MIN(1.5,1+IF($B25="",0,SUMPRODUCT((SMIX2AT!$D$2:$D$200=$B25)*(SMIX2AT!$H$2:$H$200="P3")*SMIX2AT!$I$2:$I$200*0.01))))</f>
        <v>1</v>
      </c>
      <c r="J25" s="0" t="n">
        <f aca="false">IF($B25="",0,COUNTIFS(SMIX2AT!$D$2:$D$200,$B25,SMIX2AT!$H$2:$H$200,"P4"))</f>
        <v>0</v>
      </c>
      <c r="K25" s="0" t="n">
        <f aca="false">MAX(0.5,MIN(1.5,1+IF($B25="",0,SUMPRODUCT((SMIX2AT!$D$2:$D$200=$B25)*(SMIX2AT!$H$2:$H$200="P4")*SMIX2AT!$I$2:$I$200*0.01))))</f>
        <v>1</v>
      </c>
      <c r="L25" s="0" t="n">
        <f aca="false">IF($B25="",0,COUNTIFS(SMIX2AT!$D$2:$D$200,$B25,SMIX2AT!$H$2:$H$200,"P5"))</f>
        <v>0</v>
      </c>
      <c r="M25" s="0" t="n">
        <f aca="false">MAX(0.5,MIN(1.5,1+IF($B25="",0,SUMPRODUCT((SMIX2AT!$D$2:$D$200=$B25)*(SMIX2AT!$H$2:$H$200="P5")*SMIX2AT!$I$2:$I$200*0.01))))</f>
        <v>1</v>
      </c>
      <c r="N25" s="0" t="n">
        <f aca="false">IF($B25="",0,IFERROR(SUMPRODUCT((SMIX2AT!$D$2:$D$200=$B25)*SMIX2AT!$I$2:$I$200),0))</f>
        <v>0</v>
      </c>
      <c r="O25" s="0" t="n">
        <f aca="false">D25+F25+H25+J25+L25</f>
        <v>0</v>
      </c>
    </row>
    <row r="26" customFormat="false" ht="15.75" hidden="false" customHeight="false" outlineLevel="0" collapsed="false">
      <c r="D26" s="0" t="n">
        <f aca="false">IF($B26="",0,COUNTIFS(SMIX2AT!$D$2:$D$200,$B26,SMIX2AT!$H$2:$H$200,"P1"))</f>
        <v>0</v>
      </c>
      <c r="E26" s="0" t="n">
        <f aca="false">MAX(0.5,MIN(1.5,1+IF($B26="",0,SUMPRODUCT((SMIX2AT!$D$2:$D$200=$B26)*(SMIX2AT!$H$2:$H$200="P1")*SMIX2AT!$I$2:$I$200*0.01))))</f>
        <v>1</v>
      </c>
      <c r="F26" s="0" t="n">
        <f aca="false">IF($B26="",0,COUNTIFS(SMIX2AT!$D$2:$D$200,$B26,SMIX2AT!$H$2:$H$200,"P2"))</f>
        <v>0</v>
      </c>
      <c r="G26" s="0" t="n">
        <f aca="false">MAX(0.5,MIN(1.5,1+IF($B26="",0,SUMPRODUCT((SMIX2AT!$D$2:$D$200=$B26)*(SMIX2AT!$H$2:$H$200="P2")*SMIX2AT!$I$2:$I$200*0.01))))</f>
        <v>1</v>
      </c>
      <c r="H26" s="0" t="n">
        <f aca="false">IF($B26="",0,COUNTIFS(SMIX2AT!$D$2:$D$200,$B26,SMIX2AT!$H$2:$H$200,"P3"))</f>
        <v>0</v>
      </c>
      <c r="I26" s="0" t="n">
        <f aca="false">MAX(0.5,MIN(1.5,1+IF($B26="",0,SUMPRODUCT((SMIX2AT!$D$2:$D$200=$B26)*(SMIX2AT!$H$2:$H$200="P3")*SMIX2AT!$I$2:$I$200*0.01))))</f>
        <v>1</v>
      </c>
      <c r="J26" s="0" t="n">
        <f aca="false">IF($B26="",0,COUNTIFS(SMIX2AT!$D$2:$D$200,$B26,SMIX2AT!$H$2:$H$200,"P4"))</f>
        <v>0</v>
      </c>
      <c r="K26" s="0" t="n">
        <f aca="false">MAX(0.5,MIN(1.5,1+IF($B26="",0,SUMPRODUCT((SMIX2AT!$D$2:$D$200=$B26)*(SMIX2AT!$H$2:$H$200="P4")*SMIX2AT!$I$2:$I$200*0.01))))</f>
        <v>1</v>
      </c>
      <c r="L26" s="0" t="n">
        <f aca="false">IF($B26="",0,COUNTIFS(SMIX2AT!$D$2:$D$200,$B26,SMIX2AT!$H$2:$H$200,"P5"))</f>
        <v>0</v>
      </c>
      <c r="M26" s="0" t="n">
        <f aca="false">MAX(0.5,MIN(1.5,1+IF($B26="",0,SUMPRODUCT((SMIX2AT!$D$2:$D$200=$B26)*(SMIX2AT!$H$2:$H$200="P5")*SMIX2AT!$I$2:$I$200*0.01))))</f>
        <v>1</v>
      </c>
      <c r="N26" s="0" t="n">
        <f aca="false">IF($B26="",0,IFERROR(SUMPRODUCT((SMIX2AT!$D$2:$D$200=$B26)*SMIX2AT!$I$2:$I$200),0))</f>
        <v>0</v>
      </c>
      <c r="O26" s="0" t="n">
        <f aca="false">D26+F26+H26+J26+L26</f>
        <v>0</v>
      </c>
    </row>
    <row r="27" customFormat="false" ht="15.75" hidden="false" customHeight="false" outlineLevel="0" collapsed="false">
      <c r="D27" s="0" t="n">
        <f aca="false">IF($B27="",0,COUNTIFS(SMIX2AT!$D$2:$D$200,$B27,SMIX2AT!$H$2:$H$200,"P1"))</f>
        <v>0</v>
      </c>
      <c r="E27" s="0" t="n">
        <f aca="false">MAX(0.5,MIN(1.5,1+IF($B27="",0,SUMPRODUCT((SMIX2AT!$D$2:$D$200=$B27)*(SMIX2AT!$H$2:$H$200="P1")*SMIX2AT!$I$2:$I$200*0.01))))</f>
        <v>1</v>
      </c>
      <c r="F27" s="0" t="n">
        <f aca="false">IF($B27="",0,COUNTIFS(SMIX2AT!$D$2:$D$200,$B27,SMIX2AT!$H$2:$H$200,"P2"))</f>
        <v>0</v>
      </c>
      <c r="G27" s="0" t="n">
        <f aca="false">MAX(0.5,MIN(1.5,1+IF($B27="",0,SUMPRODUCT((SMIX2AT!$D$2:$D$200=$B27)*(SMIX2AT!$H$2:$H$200="P2")*SMIX2AT!$I$2:$I$200*0.01))))</f>
        <v>1</v>
      </c>
      <c r="H27" s="0" t="n">
        <f aca="false">IF($B27="",0,COUNTIFS(SMIX2AT!$D$2:$D$200,$B27,SMIX2AT!$H$2:$H$200,"P3"))</f>
        <v>0</v>
      </c>
      <c r="I27" s="0" t="n">
        <f aca="false">MAX(0.5,MIN(1.5,1+IF($B27="",0,SUMPRODUCT((SMIX2AT!$D$2:$D$200=$B27)*(SMIX2AT!$H$2:$H$200="P3")*SMIX2AT!$I$2:$I$200*0.01))))</f>
        <v>1</v>
      </c>
      <c r="J27" s="0" t="n">
        <f aca="false">IF($B27="",0,COUNTIFS(SMIX2AT!$D$2:$D$200,$B27,SMIX2AT!$H$2:$H$200,"P4"))</f>
        <v>0</v>
      </c>
      <c r="K27" s="0" t="n">
        <f aca="false">MAX(0.5,MIN(1.5,1+IF($B27="",0,SUMPRODUCT((SMIX2AT!$D$2:$D$200=$B27)*(SMIX2AT!$H$2:$H$200="P4")*SMIX2AT!$I$2:$I$200*0.01))))</f>
        <v>1</v>
      </c>
      <c r="L27" s="0" t="n">
        <f aca="false">IF($B27="",0,COUNTIFS(SMIX2AT!$D$2:$D$200,$B27,SMIX2AT!$H$2:$H$200,"P5"))</f>
        <v>0</v>
      </c>
      <c r="M27" s="0" t="n">
        <f aca="false">MAX(0.5,MIN(1.5,1+IF($B27="",0,SUMPRODUCT((SMIX2AT!$D$2:$D$200=$B27)*(SMIX2AT!$H$2:$H$200="P5")*SMIX2AT!$I$2:$I$200*0.01))))</f>
        <v>1</v>
      </c>
      <c r="N27" s="0" t="n">
        <f aca="false">IF($B27="",0,IFERROR(SUMPRODUCT((SMIX2AT!$D$2:$D$200=$B27)*SMIX2AT!$I$2:$I$200),0))</f>
        <v>0</v>
      </c>
      <c r="O27" s="0" t="n">
        <f aca="false">D27+F27+H27+J27+L27</f>
        <v>0</v>
      </c>
    </row>
    <row r="28" customFormat="false" ht="15.75" hidden="false" customHeight="false" outlineLevel="0" collapsed="false">
      <c r="D28" s="0" t="n">
        <f aca="false">IF($B28="",0,COUNTIFS(SMIX2AT!$D$2:$D$200,$B28,SMIX2AT!$H$2:$H$200,"P1"))</f>
        <v>0</v>
      </c>
      <c r="E28" s="0" t="n">
        <f aca="false">MAX(0.5,MIN(1.5,1+IF($B28="",0,SUMPRODUCT((SMIX2AT!$D$2:$D$200=$B28)*(SMIX2AT!$H$2:$H$200="P1")*SMIX2AT!$I$2:$I$200*0.01))))</f>
        <v>1</v>
      </c>
      <c r="F28" s="0" t="n">
        <f aca="false">IF($B28="",0,COUNTIFS(SMIX2AT!$D$2:$D$200,$B28,SMIX2AT!$H$2:$H$200,"P2"))</f>
        <v>0</v>
      </c>
      <c r="G28" s="0" t="n">
        <f aca="false">MAX(0.5,MIN(1.5,1+IF($B28="",0,SUMPRODUCT((SMIX2AT!$D$2:$D$200=$B28)*(SMIX2AT!$H$2:$H$200="P2")*SMIX2AT!$I$2:$I$200*0.01))))</f>
        <v>1</v>
      </c>
      <c r="H28" s="0" t="n">
        <f aca="false">IF($B28="",0,COUNTIFS(SMIX2AT!$D$2:$D$200,$B28,SMIX2AT!$H$2:$H$200,"P3"))</f>
        <v>0</v>
      </c>
      <c r="I28" s="0" t="n">
        <f aca="false">MAX(0.5,MIN(1.5,1+IF($B28="",0,SUMPRODUCT((SMIX2AT!$D$2:$D$200=$B28)*(SMIX2AT!$H$2:$H$200="P3")*SMIX2AT!$I$2:$I$200*0.01))))</f>
        <v>1</v>
      </c>
      <c r="J28" s="0" t="n">
        <f aca="false">IF($B28="",0,COUNTIFS(SMIX2AT!$D$2:$D$200,$B28,SMIX2AT!$H$2:$H$200,"P4"))</f>
        <v>0</v>
      </c>
      <c r="K28" s="0" t="n">
        <f aca="false">MAX(0.5,MIN(1.5,1+IF($B28="",0,SUMPRODUCT((SMIX2AT!$D$2:$D$200=$B28)*(SMIX2AT!$H$2:$H$200="P4")*SMIX2AT!$I$2:$I$200*0.01))))</f>
        <v>1</v>
      </c>
      <c r="L28" s="0" t="n">
        <f aca="false">IF($B28="",0,COUNTIFS(SMIX2AT!$D$2:$D$200,$B28,SMIX2AT!$H$2:$H$200,"P5"))</f>
        <v>0</v>
      </c>
      <c r="M28" s="0" t="n">
        <f aca="false">MAX(0.5,MIN(1.5,1+IF($B28="",0,SUMPRODUCT((SMIX2AT!$D$2:$D$200=$B28)*(SMIX2AT!$H$2:$H$200="P5")*SMIX2AT!$I$2:$I$200*0.01))))</f>
        <v>1</v>
      </c>
      <c r="N28" s="0" t="n">
        <f aca="false">IF($B28="",0,IFERROR(SUMPRODUCT((SMIX2AT!$D$2:$D$200=$B28)*SMIX2AT!$I$2:$I$200),0))</f>
        <v>0</v>
      </c>
      <c r="O28" s="0" t="n">
        <f aca="false">D28+F28+H28+J28+L28</f>
        <v>0</v>
      </c>
    </row>
    <row r="29" customFormat="false" ht="15.75" hidden="false" customHeight="false" outlineLevel="0" collapsed="false">
      <c r="D29" s="0" t="n">
        <f aca="false">IF($B29="",0,COUNTIFS(SMIX2AT!$D$2:$D$200,$B29,SMIX2AT!$H$2:$H$200,"P1"))</f>
        <v>0</v>
      </c>
      <c r="E29" s="0" t="n">
        <f aca="false">MAX(0.5,MIN(1.5,1+IF($B29="",0,SUMPRODUCT((SMIX2AT!$D$2:$D$200=$B29)*(SMIX2AT!$H$2:$H$200="P1")*SMIX2AT!$I$2:$I$200*0.01))))</f>
        <v>1</v>
      </c>
      <c r="F29" s="0" t="n">
        <f aca="false">IF($B29="",0,COUNTIFS(SMIX2AT!$D$2:$D$200,$B29,SMIX2AT!$H$2:$H$200,"P2"))</f>
        <v>0</v>
      </c>
      <c r="G29" s="0" t="n">
        <f aca="false">MAX(0.5,MIN(1.5,1+IF($B29="",0,SUMPRODUCT((SMIX2AT!$D$2:$D$200=$B29)*(SMIX2AT!$H$2:$H$200="P2")*SMIX2AT!$I$2:$I$200*0.01))))</f>
        <v>1</v>
      </c>
      <c r="H29" s="0" t="n">
        <f aca="false">IF($B29="",0,COUNTIFS(SMIX2AT!$D$2:$D$200,$B29,SMIX2AT!$H$2:$H$200,"P3"))</f>
        <v>0</v>
      </c>
      <c r="I29" s="0" t="n">
        <f aca="false">MAX(0.5,MIN(1.5,1+IF($B29="",0,SUMPRODUCT((SMIX2AT!$D$2:$D$200=$B29)*(SMIX2AT!$H$2:$H$200="P3")*SMIX2AT!$I$2:$I$200*0.01))))</f>
        <v>1</v>
      </c>
      <c r="J29" s="0" t="n">
        <f aca="false">IF($B29="",0,COUNTIFS(SMIX2AT!$D$2:$D$200,$B29,SMIX2AT!$H$2:$H$200,"P4"))</f>
        <v>0</v>
      </c>
      <c r="K29" s="0" t="n">
        <f aca="false">MAX(0.5,MIN(1.5,1+IF($B29="",0,SUMPRODUCT((SMIX2AT!$D$2:$D$200=$B29)*(SMIX2AT!$H$2:$H$200="P4")*SMIX2AT!$I$2:$I$200*0.01))))</f>
        <v>1</v>
      </c>
      <c r="L29" s="0" t="n">
        <f aca="false">IF($B29="",0,COUNTIFS(SMIX2AT!$D$2:$D$200,$B29,SMIX2AT!$H$2:$H$200,"P5"))</f>
        <v>0</v>
      </c>
      <c r="M29" s="0" t="n">
        <f aca="false">MAX(0.5,MIN(1.5,1+IF($B29="",0,SUMPRODUCT((SMIX2AT!$D$2:$D$200=$B29)*(SMIX2AT!$H$2:$H$200="P5")*SMIX2AT!$I$2:$I$200*0.01))))</f>
        <v>1</v>
      </c>
      <c r="N29" s="0" t="n">
        <f aca="false">IF($B29="",0,IFERROR(SUMPRODUCT((SMIX2AT!$D$2:$D$200=$B29)*SMIX2AT!$I$2:$I$200),0))</f>
        <v>0</v>
      </c>
      <c r="O29" s="0" t="n">
        <f aca="false">D29+F29+H29+J29+L29</f>
        <v>0</v>
      </c>
    </row>
    <row r="30" customFormat="false" ht="15.75" hidden="false" customHeight="false" outlineLevel="0" collapsed="false">
      <c r="D30" s="0" t="n">
        <f aca="false">IF($B30="",0,COUNTIFS(SMIX2AT!$D$2:$D$200,$B30,SMIX2AT!$H$2:$H$200,"P1"))</f>
        <v>0</v>
      </c>
      <c r="E30" s="0" t="n">
        <f aca="false">MAX(0.5,MIN(1.5,1+IF($B30="",0,SUMPRODUCT((SMIX2AT!$D$2:$D$200=$B30)*(SMIX2AT!$H$2:$H$200="P1")*SMIX2AT!$I$2:$I$200*0.01))))</f>
        <v>1</v>
      </c>
      <c r="F30" s="0" t="n">
        <f aca="false">IF($B30="",0,COUNTIFS(SMIX2AT!$D$2:$D$200,$B30,SMIX2AT!$H$2:$H$200,"P2"))</f>
        <v>0</v>
      </c>
      <c r="G30" s="0" t="n">
        <f aca="false">MAX(0.5,MIN(1.5,1+IF($B30="",0,SUMPRODUCT((SMIX2AT!$D$2:$D$200=$B30)*(SMIX2AT!$H$2:$H$200="P2")*SMIX2AT!$I$2:$I$200*0.01))))</f>
        <v>1</v>
      </c>
      <c r="H30" s="0" t="n">
        <f aca="false">IF($B30="",0,COUNTIFS(SMIX2AT!$D$2:$D$200,$B30,SMIX2AT!$H$2:$H$200,"P3"))</f>
        <v>0</v>
      </c>
      <c r="I30" s="0" t="n">
        <f aca="false">MAX(0.5,MIN(1.5,1+IF($B30="",0,SUMPRODUCT((SMIX2AT!$D$2:$D$200=$B30)*(SMIX2AT!$H$2:$H$200="P3")*SMIX2AT!$I$2:$I$200*0.01))))</f>
        <v>1</v>
      </c>
      <c r="J30" s="0" t="n">
        <f aca="false">IF($B30="",0,COUNTIFS(SMIX2AT!$D$2:$D$200,$B30,SMIX2AT!$H$2:$H$200,"P4"))</f>
        <v>0</v>
      </c>
      <c r="K30" s="0" t="n">
        <f aca="false">MAX(0.5,MIN(1.5,1+IF($B30="",0,SUMPRODUCT((SMIX2AT!$D$2:$D$200=$B30)*(SMIX2AT!$H$2:$H$200="P4")*SMIX2AT!$I$2:$I$200*0.01))))</f>
        <v>1</v>
      </c>
      <c r="L30" s="0" t="n">
        <f aca="false">IF($B30="",0,COUNTIFS(SMIX2AT!$D$2:$D$200,$B30,SMIX2AT!$H$2:$H$200,"P5"))</f>
        <v>0</v>
      </c>
      <c r="M30" s="0" t="n">
        <f aca="false">MAX(0.5,MIN(1.5,1+IF($B30="",0,SUMPRODUCT((SMIX2AT!$D$2:$D$200=$B30)*(SMIX2AT!$H$2:$H$200="P5")*SMIX2AT!$I$2:$I$200*0.01))))</f>
        <v>1</v>
      </c>
      <c r="N30" s="0" t="n">
        <f aca="false">IF($B30="",0,IFERROR(SUMPRODUCT((SMIX2AT!$D$2:$D$200=$B30)*SMIX2AT!$I$2:$I$200),0))</f>
        <v>0</v>
      </c>
      <c r="O30" s="0" t="n">
        <f aca="false">D30+F30+H30+J30+L30</f>
        <v>0</v>
      </c>
    </row>
    <row r="31" customFormat="false" ht="15.75" hidden="false" customHeight="false" outlineLevel="0" collapsed="false">
      <c r="A31" s="0" t="s">
        <v>103</v>
      </c>
      <c r="C31" s="0" t="s">
        <v>104</v>
      </c>
      <c r="D31" s="0" t="n">
        <f aca="false">IF($B31="",0,COUNTIFS(SMIX2AT!$D$2:$D$200,$B31,SMIX2AT!$H$2:$H$200,"P1"))</f>
        <v>0</v>
      </c>
      <c r="E31" s="0" t="n">
        <f aca="false">MAX(0.5,MIN(1.5,1+IF($B31="",0,SUMPRODUCT((SMIX2AT!$D$2:$D$200=$B31)*(SMIX2AT!$H$2:$H$200="P1")*SMIX2AT!$I$2:$I$200*0.01))))</f>
        <v>1</v>
      </c>
      <c r="F31" s="0" t="n">
        <f aca="false">IF($B31="",0,COUNTIFS(SMIX2AT!$D$2:$D$200,$B31,SMIX2AT!$H$2:$H$200,"P2"))</f>
        <v>0</v>
      </c>
      <c r="G31" s="0" t="n">
        <f aca="false">MAX(0.5,MIN(1.5,1+IF($B31="",0,SUMPRODUCT((SMIX2AT!$D$2:$D$200=$B31)*(SMIX2AT!$H$2:$H$200="P2")*SMIX2AT!$I$2:$I$200*0.01))))</f>
        <v>1</v>
      </c>
      <c r="H31" s="0" t="n">
        <f aca="false">IF($B31="",0,COUNTIFS(SMIX2AT!$D$2:$D$200,$B31,SMIX2AT!$H$2:$H$200,"P3"))</f>
        <v>0</v>
      </c>
      <c r="I31" s="0" t="n">
        <f aca="false">MAX(0.5,MIN(1.5,1+IF($B31="",0,SUMPRODUCT((SMIX2AT!$D$2:$D$200=$B31)*(SMIX2AT!$H$2:$H$200="P3")*SMIX2AT!$I$2:$I$200*0.01))))</f>
        <v>1</v>
      </c>
      <c r="J31" s="0" t="n">
        <f aca="false">IF($B31="",0,COUNTIFS(SMIX2AT!$D$2:$D$200,$B31,SMIX2AT!$H$2:$H$200,"P4"))</f>
        <v>0</v>
      </c>
      <c r="K31" s="0" t="n">
        <f aca="false">MAX(0.5,MIN(1.5,1+IF($B31="",0,SUMPRODUCT((SMIX2AT!$D$2:$D$200=$B31)*(SMIX2AT!$H$2:$H$200="P4")*SMIX2AT!$I$2:$I$200*0.01))))</f>
        <v>1</v>
      </c>
      <c r="L31" s="0" t="n">
        <f aca="false">IF($B31="",0,COUNTIFS(SMIX2AT!$D$2:$D$200,$B31,SMIX2AT!$H$2:$H$200,"P5"))</f>
        <v>0</v>
      </c>
      <c r="M31" s="0" t="n">
        <f aca="false">MAX(0.5,MIN(1.5,1+IF($B31="",0,SUMPRODUCT((SMIX2AT!$D$2:$D$200=$B31)*(SMIX2AT!$H$2:$H$200="P5")*SMIX2AT!$I$2:$I$200*0.01))))</f>
        <v>1</v>
      </c>
      <c r="N31" s="0" t="n">
        <f aca="false">IF($B31="",0,IFERROR(SUMPRODUCT((SMIX2AT!$D$2:$D$200=$B31)*SMIX2AT!$I$2:$I$200),0))</f>
        <v>0</v>
      </c>
      <c r="O31" s="0" t="n">
        <f aca="false">D31+F31+H31+J31+L31</f>
        <v>0</v>
      </c>
    </row>
    <row r="32" customFormat="false" ht="15.75" hidden="false" customHeight="false" outlineLevel="0" collapsed="false">
      <c r="A32" s="0" t="s">
        <v>105</v>
      </c>
      <c r="D32" s="0" t="n">
        <f aca="false">IF($B32="",0,COUNTIFS(SMIX2AT!$D$2:$D$200,$B32,SMIX2AT!$H$2:$H$200,"P1"))</f>
        <v>0</v>
      </c>
      <c r="E32" s="0" t="n">
        <f aca="false">MAX(0.5,MIN(1.5,1+IF($B32="",0,SUMPRODUCT((SMIX2AT!$D$2:$D$200=$B32)*(SMIX2AT!$H$2:$H$200="P1")*SMIX2AT!$I$2:$I$200*0.01))))</f>
        <v>1</v>
      </c>
      <c r="F32" s="0" t="n">
        <f aca="false">IF($B32="",0,COUNTIFS(SMIX2AT!$D$2:$D$200,$B32,SMIX2AT!$H$2:$H$200,"P2"))</f>
        <v>0</v>
      </c>
      <c r="G32" s="0" t="n">
        <f aca="false">MAX(0.5,MIN(1.5,1+IF($B32="",0,SUMPRODUCT((SMIX2AT!$D$2:$D$200=$B32)*(SMIX2AT!$H$2:$H$200="P2")*SMIX2AT!$I$2:$I$200*0.01))))</f>
        <v>1</v>
      </c>
      <c r="H32" s="0" t="n">
        <f aca="false">IF($B32="",0,COUNTIFS(SMIX2AT!$D$2:$D$200,$B32,SMIX2AT!$H$2:$H$200,"P3"))</f>
        <v>0</v>
      </c>
      <c r="I32" s="0" t="n">
        <f aca="false">MAX(0.5,MIN(1.5,1+IF($B32="",0,SUMPRODUCT((SMIX2AT!$D$2:$D$200=$B32)*(SMIX2AT!$H$2:$H$200="P3")*SMIX2AT!$I$2:$I$200*0.01))))</f>
        <v>1</v>
      </c>
      <c r="J32" s="0" t="n">
        <f aca="false">IF($B32="",0,COUNTIFS(SMIX2AT!$D$2:$D$200,$B32,SMIX2AT!$H$2:$H$200,"P4"))</f>
        <v>0</v>
      </c>
      <c r="K32" s="0" t="n">
        <f aca="false">MAX(0.5,MIN(1.5,1+IF($B32="",0,SUMPRODUCT((SMIX2AT!$D$2:$D$200=$B32)*(SMIX2AT!$H$2:$H$200="P4")*SMIX2AT!$I$2:$I$200*0.01))))</f>
        <v>1</v>
      </c>
      <c r="L32" s="0" t="n">
        <f aca="false">IF($B32="",0,COUNTIFS(SMIX2AT!$D$2:$D$200,$B32,SMIX2AT!$H$2:$H$200,"P5"))</f>
        <v>0</v>
      </c>
      <c r="M32" s="0" t="n">
        <f aca="false">MAX(0.5,MIN(1.5,1+IF($B32="",0,SUMPRODUCT((SMIX2AT!$D$2:$D$200=$B32)*(SMIX2AT!$H$2:$H$200="P5")*SMIX2AT!$I$2:$I$200*0.01))))</f>
        <v>1</v>
      </c>
      <c r="N32" s="0" t="n">
        <f aca="false">IF($B32="",0,IFERROR(SUMPRODUCT((SMIX2AT!$D$2:$D$200=$B32)*SMIX2AT!$I$2:$I$200),0))</f>
        <v>0</v>
      </c>
      <c r="O32" s="0" t="n">
        <f aca="false">D32+F32+H32+J32+L32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outlinePr summaryBelow="0"/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18.88"/>
    <col collapsed="false" customWidth="true" hidden="false" outlineLevel="0" max="4" min="4" style="0" width="27.25"/>
    <col collapsed="false" customWidth="true" hidden="false" outlineLevel="0" max="5" min="5" style="0" width="31.38"/>
    <col collapsed="false" customWidth="true" hidden="false" outlineLevel="0" max="6" min="6" style="0" width="53.88"/>
    <col collapsed="false" customWidth="true" hidden="false" outlineLevel="0" max="7" min="7" style="0" width="37.13"/>
    <col collapsed="false" customWidth="true" hidden="false" outlineLevel="0" max="14" min="8" style="0" width="18.88"/>
  </cols>
  <sheetData>
    <row r="1" customFormat="false" ht="22.5" hidden="false" customHeight="true" outlineLevel="0" collapsed="false">
      <c r="A1" s="0" t="s">
        <v>39</v>
      </c>
      <c r="B1" s="0" t="s">
        <v>40</v>
      </c>
      <c r="C1" s="0" t="s">
        <v>18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</row>
    <row r="2" customFormat="false" ht="15.75" hidden="false" customHeight="false" outlineLevel="0" collapsed="false">
      <c r="I2" s="0" t="n">
        <f aca="false">IF(F2="",0,IFERROR(VALUE(LEFT(TRIM(F2),FIND(" ",TRIM(F2))-1)),0))</f>
        <v>0</v>
      </c>
    </row>
    <row r="3" customFormat="false" ht="15.75" hidden="false" customHeight="false" outlineLevel="0" collapsed="false">
      <c r="I3" s="0" t="n">
        <f aca="false">IF(F3="",0,IFERROR(VALUE(LEFT(TRIM(F3),FIND(" ",TRIM(F3))-1)),0))</f>
        <v>0</v>
      </c>
    </row>
    <row r="4" customFormat="false" ht="15.75" hidden="false" customHeight="false" outlineLevel="0" collapsed="false">
      <c r="I4" s="0" t="n">
        <f aca="false">IF(F4="",0,IFERROR(VALUE(LEFT(TRIM(F4),FIND(" ",TRIM(F4))-1)),0))</f>
        <v>0</v>
      </c>
    </row>
    <row r="5" customFormat="false" ht="15.75" hidden="false" customHeight="false" outlineLevel="0" collapsed="false">
      <c r="I5" s="0" t="n">
        <f aca="false">IF(F5="",0,IFERROR(VALUE(LEFT(TRIM(F5),FIND(" ",TRIM(F5))-1)),0))</f>
        <v>0</v>
      </c>
    </row>
    <row r="6" customFormat="false" ht="15.75" hidden="false" customHeight="false" outlineLevel="0" collapsed="false">
      <c r="I6" s="0" t="n">
        <f aca="false">IF(F6="",0,IFERROR(VALUE(LEFT(TRIM(F6),FIND(" ",TRIM(F6))-1)),0))</f>
        <v>0</v>
      </c>
    </row>
    <row r="7" customFormat="false" ht="15.75" hidden="false" customHeight="false" outlineLevel="0" collapsed="false">
      <c r="I7" s="0" t="n">
        <f aca="false">IF(F7="",0,IFERROR(VALUE(LEFT(TRIM(F7),FIND(" ",TRIM(F7))-1)),0))</f>
        <v>0</v>
      </c>
    </row>
    <row r="8" customFormat="false" ht="15.75" hidden="false" customHeight="false" outlineLevel="0" collapsed="false">
      <c r="I8" s="0" t="n">
        <f aca="false">IF(F8="",0,IFERROR(VALUE(LEFT(TRIM(F8),FIND(" ",TRIM(F8))-1)),0))</f>
        <v>0</v>
      </c>
    </row>
    <row r="9" customFormat="false" ht="15.75" hidden="false" customHeight="false" outlineLevel="0" collapsed="false">
      <c r="I9" s="0" t="n">
        <f aca="false">IF(F9="",0,IFERROR(VALUE(LEFT(TRIM(F9),FIND(" ",TRIM(F9))-1)),0))</f>
        <v>0</v>
      </c>
    </row>
    <row r="10" customFormat="false" ht="15.75" hidden="false" customHeight="false" outlineLevel="0" collapsed="false">
      <c r="I10" s="0" t="n">
        <f aca="false">IF(F10="",0,IFERROR(VALUE(LEFT(TRIM(F10),FIND(" ",TRIM(F10))-1)),0))</f>
        <v>0</v>
      </c>
    </row>
    <row r="11" customFormat="false" ht="15.75" hidden="false" customHeight="false" outlineLevel="0" collapsed="false">
      <c r="I11" s="0" t="n">
        <f aca="false">IF(F11="",0,IFERROR(VALUE(LEFT(TRIM(F11),FIND(" ",TRIM(F11))-1)),0))</f>
        <v>0</v>
      </c>
    </row>
    <row r="12" customFormat="false" ht="15.75" hidden="false" customHeight="false" outlineLevel="0" collapsed="false">
      <c r="I12" s="0" t="n">
        <f aca="false">IF(F12="",0,IFERROR(VALUE(LEFT(TRIM(F12),FIND(" ",TRIM(F12))-1)),0))</f>
        <v>0</v>
      </c>
    </row>
    <row r="13" customFormat="false" ht="15.75" hidden="false" customHeight="false" outlineLevel="0" collapsed="false">
      <c r="I13" s="0" t="n">
        <f aca="false">IF(F13="",0,IFERROR(VALUE(LEFT(TRIM(F13),FIND(" ",TRIM(F13))-1)),0))</f>
        <v>0</v>
      </c>
    </row>
    <row r="14" customFormat="false" ht="15.75" hidden="false" customHeight="false" outlineLevel="0" collapsed="false">
      <c r="I14" s="0" t="n">
        <f aca="false">IF(F14="",0,IFERROR(VALUE(LEFT(TRIM(F14),FIND(" ",TRIM(F14))-1)),0))</f>
        <v>0</v>
      </c>
    </row>
    <row r="15" customFormat="false" ht="15.75" hidden="false" customHeight="false" outlineLevel="0" collapsed="false">
      <c r="I15" s="0" t="n">
        <f aca="false">IF(F15="",0,IFERROR(VALUE(LEFT(TRIM(F15),FIND(" ",TRIM(F15))-1)),0))</f>
        <v>0</v>
      </c>
    </row>
    <row r="16" customFormat="false" ht="15.75" hidden="false" customHeight="false" outlineLevel="0" collapsed="false">
      <c r="I16" s="0" t="n">
        <f aca="false">IF(F16="",0,IFERROR(VALUE(LEFT(TRIM(F16),FIND(" ",TRIM(F16))-1)),0))</f>
        <v>0</v>
      </c>
    </row>
    <row r="17" customFormat="false" ht="15.75" hidden="false" customHeight="false" outlineLevel="0" collapsed="false">
      <c r="I17" s="0" t="n">
        <f aca="false">IF(F17="",0,IFERROR(VALUE(LEFT(TRIM(F17),FIND(" ",TRIM(F17))-1)),0))</f>
        <v>0</v>
      </c>
    </row>
    <row r="18" customFormat="false" ht="15.75" hidden="false" customHeight="false" outlineLevel="0" collapsed="false">
      <c r="I18" s="0" t="n">
        <f aca="false">IF(F18="",0,IFERROR(VALUE(LEFT(TRIM(F18),FIND(" ",TRIM(F18))-1)),0))</f>
        <v>0</v>
      </c>
    </row>
    <row r="19" customFormat="false" ht="15.75" hidden="false" customHeight="false" outlineLevel="0" collapsed="false">
      <c r="I19" s="0" t="n">
        <f aca="false">IF(F19="",0,IFERROR(VALUE(LEFT(TRIM(F19),FIND(" ",TRIM(F19))-1)),0))</f>
        <v>0</v>
      </c>
    </row>
    <row r="20" customFormat="false" ht="15.75" hidden="false" customHeight="false" outlineLevel="0" collapsed="false">
      <c r="I20" s="0" t="n">
        <f aca="false">IF(F20="",0,IFERROR(VALUE(LEFT(TRIM(F20),FIND(" ",TRIM(F20))-1)),0))</f>
        <v>0</v>
      </c>
    </row>
    <row r="21" customFormat="false" ht="15.75" hidden="false" customHeight="false" outlineLevel="0" collapsed="false">
      <c r="I21" s="0" t="n">
        <f aca="false">IF(F21="",0,IFERROR(VALUE(LEFT(TRIM(F21),FIND(" ",TRIM(F21))-1)),0))</f>
        <v>0</v>
      </c>
    </row>
    <row r="22" customFormat="false" ht="15.75" hidden="false" customHeight="false" outlineLevel="0" collapsed="false">
      <c r="I22" s="0" t="n">
        <f aca="false">IF(F22="",0,IFERROR(VALUE(LEFT(TRIM(F22),FIND(" ",TRIM(F22))-1)),0))</f>
        <v>0</v>
      </c>
    </row>
    <row r="23" customFormat="false" ht="15.75" hidden="false" customHeight="false" outlineLevel="0" collapsed="false">
      <c r="I23" s="0" t="n">
        <f aca="false">IF(F23="",0,IFERROR(VALUE(LEFT(TRIM(F23),FIND(" ",TRIM(F23))-1)),0))</f>
        <v>0</v>
      </c>
    </row>
    <row r="24" customFormat="false" ht="15.75" hidden="false" customHeight="false" outlineLevel="0" collapsed="false">
      <c r="I24" s="0" t="n">
        <f aca="false">IF(F24="",0,IFERROR(VALUE(LEFT(TRIM(F24),FIND(" ",TRIM(F24))-1)),0))</f>
        <v>0</v>
      </c>
    </row>
    <row r="25" customFormat="false" ht="15.75" hidden="false" customHeight="false" outlineLevel="0" collapsed="false">
      <c r="I25" s="0" t="n">
        <f aca="false">IF(F25="",0,IFERROR(VALUE(LEFT(TRIM(F25),FIND(" ",TRIM(F25))-1)),0))</f>
        <v>0</v>
      </c>
    </row>
    <row r="26" customFormat="false" ht="15.75" hidden="false" customHeight="false" outlineLevel="0" collapsed="false">
      <c r="I26" s="0" t="n">
        <f aca="false">IF(F26="",0,IFERROR(VALUE(LEFT(TRIM(F26),FIND(" ",TRIM(F26))-1)),0))</f>
        <v>0</v>
      </c>
    </row>
    <row r="27" customFormat="false" ht="15.75" hidden="false" customHeight="false" outlineLevel="0" collapsed="false">
      <c r="I27" s="0" t="n">
        <f aca="false">IF(F27="",0,IFERROR(VALUE(LEFT(TRIM(F27),FIND(" ",TRIM(F27))-1)),0))</f>
        <v>0</v>
      </c>
    </row>
    <row r="28" customFormat="false" ht="15.75" hidden="false" customHeight="false" outlineLevel="0" collapsed="false">
      <c r="I28" s="0" t="n">
        <f aca="false">IF(F28="",0,IFERROR(VALUE(LEFT(TRIM(F28),FIND(" ",TRIM(F28))-1)),0))</f>
        <v>0</v>
      </c>
    </row>
    <row r="29" customFormat="false" ht="15.75" hidden="false" customHeight="false" outlineLevel="0" collapsed="false">
      <c r="I29" s="0" t="n">
        <f aca="false">IF(F29="",0,IFERROR(VALUE(LEFT(TRIM(F29),FIND(" ",TRIM(F29))-1)),0))</f>
        <v>0</v>
      </c>
    </row>
    <row r="30" customFormat="false" ht="15.75" hidden="false" customHeight="false" outlineLevel="0" collapsed="false">
      <c r="I30" s="0" t="n">
        <f aca="false">IF(F30="",0,IFERROR(VALUE(LEFT(TRIM(F30),FIND(" ",TRIM(F30))-1)),0))</f>
        <v>0</v>
      </c>
    </row>
    <row r="31" customFormat="false" ht="15.75" hidden="false" customHeight="false" outlineLevel="0" collapsed="false">
      <c r="I31" s="0" t="n">
        <f aca="false">IF(F31="",0,IFERROR(VALUE(LEFT(TRIM(F31),FIND(" ",TRIM(F31))-1)),0))</f>
        <v>0</v>
      </c>
    </row>
    <row r="32" customFormat="false" ht="15.75" hidden="false" customHeight="false" outlineLevel="0" collapsed="false">
      <c r="I32" s="0" t="n">
        <f aca="false">IF(F32="",0,IFERROR(VALUE(LEFT(TRIM(F32),FIND(" ",TRIM(F32))-1)),0))</f>
        <v>0</v>
      </c>
    </row>
    <row r="33" customFormat="false" ht="15.75" hidden="false" customHeight="false" outlineLevel="0" collapsed="false">
      <c r="I33" s="0" t="n">
        <f aca="false">IF(F33="",0,IFERROR(VALUE(LEFT(TRIM(F33),FIND(" ",TRIM(F33))-1)),0))</f>
        <v>0</v>
      </c>
    </row>
    <row r="34" customFormat="false" ht="15.75" hidden="false" customHeight="false" outlineLevel="0" collapsed="false">
      <c r="I34" s="0" t="n">
        <f aca="false">IF(F34="",0,IFERROR(VALUE(LEFT(TRIM(F34),FIND(" ",TRIM(F34))-1)),0))</f>
        <v>0</v>
      </c>
    </row>
    <row r="35" customFormat="false" ht="15.75" hidden="false" customHeight="false" outlineLevel="0" collapsed="false">
      <c r="I35" s="0" t="n">
        <f aca="false">IF(F35="",0,IFERROR(VALUE(LEFT(TRIM(F35),FIND(" ",TRIM(F35))-1)),0))</f>
        <v>0</v>
      </c>
    </row>
    <row r="36" customFormat="false" ht="15.75" hidden="false" customHeight="false" outlineLevel="0" collapsed="false">
      <c r="I36" s="0" t="n">
        <f aca="false">IF(F36="",0,IFERROR(VALUE(LEFT(TRIM(F36),FIND(" ",TRIM(F36))-1)),0))</f>
        <v>0</v>
      </c>
    </row>
    <row r="37" customFormat="false" ht="15.75" hidden="false" customHeight="false" outlineLevel="0" collapsed="false">
      <c r="I37" s="0" t="n">
        <f aca="false">IF(F37="",0,IFERROR(VALUE(LEFT(TRIM(F37),FIND(" ",TRIM(F37))-1)),0))</f>
        <v>0</v>
      </c>
    </row>
    <row r="38" customFormat="false" ht="15.75" hidden="false" customHeight="false" outlineLevel="0" collapsed="false">
      <c r="I38" s="0" t="n">
        <f aca="false">IF(F38="",0,IFERROR(VALUE(LEFT(TRIM(F38),FIND(" ",TRIM(F38))-1)),0))</f>
        <v>0</v>
      </c>
    </row>
    <row r="39" customFormat="false" ht="15.75" hidden="false" customHeight="false" outlineLevel="0" collapsed="false">
      <c r="I39" s="0" t="n">
        <f aca="false">IF(F39="",0,IFERROR(VALUE(LEFT(TRIM(F39),FIND(" ",TRIM(F39))-1)),0))</f>
        <v>0</v>
      </c>
    </row>
    <row r="40" customFormat="false" ht="15.75" hidden="false" customHeight="false" outlineLevel="0" collapsed="false">
      <c r="I40" s="0" t="n">
        <f aca="false">IF(F40="",0,IFERROR(VALUE(LEFT(TRIM(F40),FIND(" ",TRIM(F40))-1)),0))</f>
        <v>0</v>
      </c>
    </row>
    <row r="41" customFormat="false" ht="15.75" hidden="false" customHeight="false" outlineLevel="0" collapsed="false">
      <c r="I41" s="0" t="n">
        <f aca="false">IF(F41="",0,IFERROR(VALUE(LEFT(TRIM(F41),FIND(" ",TRIM(F41))-1)),0))</f>
        <v>0</v>
      </c>
    </row>
    <row r="42" customFormat="false" ht="15.75" hidden="false" customHeight="false" outlineLevel="0" collapsed="false">
      <c r="I42" s="0" t="n">
        <f aca="false">IF(F42="",0,IFERROR(VALUE(LEFT(TRIM(F42),FIND(" ",TRIM(F42))-1)),0))</f>
        <v>0</v>
      </c>
    </row>
    <row r="43" customFormat="false" ht="15.75" hidden="false" customHeight="false" outlineLevel="0" collapsed="false">
      <c r="I43" s="0" t="n">
        <f aca="false">IF(F43="",0,IFERROR(VALUE(LEFT(TRIM(F43),FIND(" ",TRIM(F43))-1)),0))</f>
        <v>0</v>
      </c>
    </row>
    <row r="44" customFormat="false" ht="15.75" hidden="false" customHeight="false" outlineLevel="0" collapsed="false">
      <c r="I44" s="0" t="n">
        <f aca="false">IF(F44="",0,IFERROR(VALUE(LEFT(TRIM(F44),FIND(" ",TRIM(F44))-1)),0))</f>
        <v>0</v>
      </c>
    </row>
    <row r="45" customFormat="false" ht="15.75" hidden="false" customHeight="false" outlineLevel="0" collapsed="false">
      <c r="I45" s="0" t="n">
        <f aca="false">IF(F45="",0,IFERROR(VALUE(LEFT(TRIM(F45),FIND(" ",TRIM(F45))-1)),0))</f>
        <v>0</v>
      </c>
    </row>
    <row r="46" customFormat="false" ht="15.75" hidden="false" customHeight="false" outlineLevel="0" collapsed="false">
      <c r="I46" s="0" t="n">
        <f aca="false">IF(F46="",0,IFERROR(VALUE(LEFT(TRIM(F46),FIND(" ",TRIM(F46))-1)),0))</f>
        <v>0</v>
      </c>
    </row>
    <row r="47" customFormat="false" ht="15.75" hidden="false" customHeight="false" outlineLevel="0" collapsed="false">
      <c r="I47" s="0" t="n">
        <f aca="false">IF(F47="",0,IFERROR(VALUE(LEFT(TRIM(F47),FIND(" ",TRIM(F47))-1)),0))</f>
        <v>0</v>
      </c>
    </row>
    <row r="48" customFormat="false" ht="15.75" hidden="false" customHeight="false" outlineLevel="0" collapsed="false">
      <c r="I48" s="0" t="n">
        <f aca="false">IF(F48="",0,IFERROR(VALUE(LEFT(TRIM(F48),FIND(" ",TRIM(F48))-1)),0))</f>
        <v>0</v>
      </c>
    </row>
    <row r="49" customFormat="false" ht="15.75" hidden="false" customHeight="false" outlineLevel="0" collapsed="false">
      <c r="I49" s="0" t="n">
        <f aca="false">IF(F49="",0,IFERROR(VALUE(LEFT(TRIM(F49),FIND(" ",TRIM(F49))-1)),0))</f>
        <v>0</v>
      </c>
    </row>
    <row r="50" customFormat="false" ht="15.75" hidden="false" customHeight="false" outlineLevel="0" collapsed="false">
      <c r="I50" s="0" t="n">
        <f aca="false">IF(F50="",0,IFERROR(VALUE(LEFT(TRIM(F50),FIND(" ",TRIM(F50))-1)),0))</f>
        <v>0</v>
      </c>
    </row>
    <row r="51" customFormat="false" ht="15.75" hidden="false" customHeight="false" outlineLevel="0" collapsed="false">
      <c r="I51" s="0" t="n">
        <f aca="false">IF(F51="",0,IFERROR(VALUE(LEFT(TRIM(F51),FIND(" ",TRIM(F51))-1)),0))</f>
        <v>0</v>
      </c>
    </row>
    <row r="52" customFormat="false" ht="15.75" hidden="false" customHeight="false" outlineLevel="0" collapsed="false">
      <c r="I52" s="0" t="n">
        <f aca="false">IF(F52="",0,IFERROR(VALUE(LEFT(TRIM(F52),FIND(" ",TRIM(F52))-1)),0))</f>
        <v>0</v>
      </c>
    </row>
    <row r="53" customFormat="false" ht="15.75" hidden="false" customHeight="false" outlineLevel="0" collapsed="false">
      <c r="I53" s="0" t="n">
        <f aca="false">IF(F53="",0,IFERROR(VALUE(LEFT(TRIM(F53),FIND(" ",TRIM(F53))-1)),0))</f>
        <v>0</v>
      </c>
    </row>
    <row r="54" customFormat="false" ht="15.75" hidden="false" customHeight="false" outlineLevel="0" collapsed="false">
      <c r="I54" s="0" t="n">
        <f aca="false">IF(F54="",0,IFERROR(VALUE(LEFT(TRIM(F54),FIND(" ",TRIM(F54))-1)),0))</f>
        <v>0</v>
      </c>
    </row>
    <row r="55" customFormat="false" ht="15.75" hidden="false" customHeight="false" outlineLevel="0" collapsed="false">
      <c r="I55" s="0" t="n">
        <f aca="false">IF(F55="",0,IFERROR(VALUE(LEFT(TRIM(F55),FIND(" ",TRIM(F55))-1)),0))</f>
        <v>0</v>
      </c>
    </row>
    <row r="56" customFormat="false" ht="15.75" hidden="false" customHeight="false" outlineLevel="0" collapsed="false">
      <c r="I56" s="0" t="n">
        <f aca="false">IF(F56="",0,IFERROR(VALUE(LEFT(TRIM(F56),FIND(" ",TRIM(F56))-1)),0))</f>
        <v>0</v>
      </c>
    </row>
    <row r="57" customFormat="false" ht="15.75" hidden="false" customHeight="false" outlineLevel="0" collapsed="false">
      <c r="I57" s="0" t="n">
        <f aca="false">IF(F57="",0,IFERROR(VALUE(LEFT(TRIM(F57),FIND(" ",TRIM(F57))-1)),0))</f>
        <v>0</v>
      </c>
    </row>
    <row r="58" customFormat="false" ht="15.75" hidden="false" customHeight="false" outlineLevel="0" collapsed="false">
      <c r="I58" s="0" t="n">
        <f aca="false">IF(F58="",0,IFERROR(VALUE(LEFT(TRIM(F58),FIND(" ",TRIM(F58))-1)),0))</f>
        <v>0</v>
      </c>
    </row>
    <row r="59" customFormat="false" ht="15.75" hidden="false" customHeight="false" outlineLevel="0" collapsed="false">
      <c r="I59" s="0" t="n">
        <f aca="false">IF(F59="",0,IFERROR(VALUE(LEFT(TRIM(F59),FIND(" ",TRIM(F59))-1)),0))</f>
        <v>0</v>
      </c>
    </row>
    <row r="60" customFormat="false" ht="15.75" hidden="false" customHeight="false" outlineLevel="0" collapsed="false">
      <c r="I60" s="0" t="n">
        <f aca="false">IF(F60="",0,IFERROR(VALUE(LEFT(TRIM(F60),FIND(" ",TRIM(F60))-1)),0))</f>
        <v>0</v>
      </c>
    </row>
    <row r="61" customFormat="false" ht="15.75" hidden="false" customHeight="false" outlineLevel="0" collapsed="false">
      <c r="I61" s="0" t="n">
        <f aca="false">IF(F61="",0,IFERROR(VALUE(LEFT(TRIM(F61),FIND(" ",TRIM(F61))-1)),0))</f>
        <v>0</v>
      </c>
    </row>
    <row r="62" customFormat="false" ht="15.75" hidden="false" customHeight="false" outlineLevel="0" collapsed="false">
      <c r="I62" s="0" t="n">
        <f aca="false">IF(F62="",0,IFERROR(VALUE(LEFT(TRIM(F62),FIND(" ",TRIM(F62))-1)),0))</f>
        <v>0</v>
      </c>
    </row>
    <row r="63" customFormat="false" ht="15.75" hidden="false" customHeight="false" outlineLevel="0" collapsed="false">
      <c r="I63" s="0" t="n">
        <f aca="false">IF(F63="",0,IFERROR(VALUE(LEFT(TRIM(F63),FIND(" ",TRIM(F63))-1)),0))</f>
        <v>0</v>
      </c>
    </row>
    <row r="64" customFormat="false" ht="15.75" hidden="false" customHeight="false" outlineLevel="0" collapsed="false">
      <c r="I64" s="0" t="n">
        <f aca="false">IF(F64="",0,IFERROR(VALUE(LEFT(TRIM(F64),FIND(" ",TRIM(F64))-1)),0))</f>
        <v>0</v>
      </c>
    </row>
    <row r="65" customFormat="false" ht="15.75" hidden="false" customHeight="false" outlineLevel="0" collapsed="false">
      <c r="I65" s="0" t="n">
        <f aca="false">IF(F65="",0,IFERROR(VALUE(LEFT(TRIM(F65),FIND(" ",TRIM(F65))-1)),0))</f>
        <v>0</v>
      </c>
    </row>
    <row r="66" customFormat="false" ht="15.75" hidden="false" customHeight="false" outlineLevel="0" collapsed="false">
      <c r="I66" s="0" t="n">
        <f aca="false">IF(F66="",0,IFERROR(VALUE(LEFT(TRIM(F66),FIND(" ",TRIM(F66))-1)),0))</f>
        <v>0</v>
      </c>
    </row>
    <row r="67" customFormat="false" ht="15.75" hidden="false" customHeight="false" outlineLevel="0" collapsed="false">
      <c r="I67" s="0" t="n">
        <f aca="false">IF(F67="",0,IFERROR(VALUE(LEFT(TRIM(F67),FIND(" ",TRIM(F67))-1)),0))</f>
        <v>0</v>
      </c>
    </row>
    <row r="68" customFormat="false" ht="15.75" hidden="false" customHeight="false" outlineLevel="0" collapsed="false">
      <c r="I68" s="0" t="n">
        <f aca="false">IF(F68="",0,IFERROR(VALUE(LEFT(TRIM(F68),FIND(" ",TRIM(F68))-1)),0))</f>
        <v>0</v>
      </c>
    </row>
    <row r="69" customFormat="false" ht="15.75" hidden="false" customHeight="false" outlineLevel="0" collapsed="false">
      <c r="I69" s="0" t="n">
        <f aca="false">IF(F69="",0,IFERROR(VALUE(LEFT(TRIM(F69),FIND(" ",TRIM(F69))-1)),0))</f>
        <v>0</v>
      </c>
    </row>
    <row r="70" customFormat="false" ht="15.75" hidden="false" customHeight="false" outlineLevel="0" collapsed="false">
      <c r="I70" s="0" t="n">
        <f aca="false">IF(F70="",0,IFERROR(VALUE(LEFT(TRIM(F70),FIND(" ",TRIM(F70))-1)),0))</f>
        <v>0</v>
      </c>
    </row>
    <row r="71" customFormat="false" ht="15.75" hidden="false" customHeight="false" outlineLevel="0" collapsed="false">
      <c r="I71" s="0" t="n">
        <f aca="false">IF(F71="",0,IFERROR(VALUE(LEFT(TRIM(F71),FIND(" ",TRIM(F71))-1)),0))</f>
        <v>0</v>
      </c>
    </row>
    <row r="72" customFormat="false" ht="15.75" hidden="false" customHeight="false" outlineLevel="0" collapsed="false">
      <c r="I72" s="0" t="n">
        <f aca="false">IF(F72="",0,IFERROR(VALUE(LEFT(TRIM(F72),FIND(" ",TRIM(F72))-1)),0))</f>
        <v>0</v>
      </c>
    </row>
    <row r="73" customFormat="false" ht="15.75" hidden="false" customHeight="false" outlineLevel="0" collapsed="false">
      <c r="I73" s="0" t="n">
        <f aca="false">IF(F73="",0,IFERROR(VALUE(LEFT(TRIM(F73),FIND(" ",TRIM(F73))-1)),0))</f>
        <v>0</v>
      </c>
    </row>
    <row r="74" customFormat="false" ht="15.75" hidden="false" customHeight="false" outlineLevel="0" collapsed="false">
      <c r="I74" s="0" t="n">
        <f aca="false">IF(F74="",0,IFERROR(VALUE(LEFT(TRIM(F74),FIND(" ",TRIM(F74))-1)),0))</f>
        <v>0</v>
      </c>
    </row>
    <row r="75" customFormat="false" ht="15.75" hidden="false" customHeight="false" outlineLevel="0" collapsed="false">
      <c r="I75" s="0" t="n">
        <f aca="false">IF(F75="",0,IFERROR(VALUE(LEFT(TRIM(F75),FIND(" ",TRIM(F75))-1)),0))</f>
        <v>0</v>
      </c>
    </row>
    <row r="76" customFormat="false" ht="15.75" hidden="false" customHeight="false" outlineLevel="0" collapsed="false">
      <c r="I76" s="0" t="n">
        <f aca="false">IF(F76="",0,IFERROR(VALUE(LEFT(TRIM(F76),FIND(" ",TRIM(F76))-1)),0))</f>
        <v>0</v>
      </c>
    </row>
    <row r="77" customFormat="false" ht="15.75" hidden="false" customHeight="false" outlineLevel="0" collapsed="false">
      <c r="I77" s="0" t="n">
        <f aca="false">IF(F77="",0,IFERROR(VALUE(LEFT(TRIM(F77),FIND(" ",TRIM(F77))-1)),0))</f>
        <v>0</v>
      </c>
    </row>
    <row r="78" customFormat="false" ht="15.75" hidden="false" customHeight="false" outlineLevel="0" collapsed="false">
      <c r="I78" s="0" t="n">
        <f aca="false">IF(F78="",0,IFERROR(VALUE(LEFT(TRIM(F78),FIND(" ",TRIM(F78))-1)),0))</f>
        <v>0</v>
      </c>
    </row>
    <row r="79" customFormat="false" ht="15.75" hidden="false" customHeight="false" outlineLevel="0" collapsed="false">
      <c r="I79" s="0" t="n">
        <f aca="false">IF(F79="",0,IFERROR(VALUE(LEFT(TRIM(F79),FIND(" ",TRIM(F79))-1)),0))</f>
        <v>0</v>
      </c>
    </row>
    <row r="80" customFormat="false" ht="15.75" hidden="false" customHeight="false" outlineLevel="0" collapsed="false">
      <c r="I80" s="0" t="n">
        <f aca="false">IF(F80="",0,IFERROR(VALUE(LEFT(TRIM(F80),FIND(" ",TRIM(F80))-1)),0))</f>
        <v>0</v>
      </c>
    </row>
    <row r="81" customFormat="false" ht="15.75" hidden="false" customHeight="false" outlineLevel="0" collapsed="false">
      <c r="I81" s="0" t="n">
        <f aca="false">IF(F81="",0,IFERROR(VALUE(LEFT(TRIM(F81),FIND(" ",TRIM(F81))-1)),0))</f>
        <v>0</v>
      </c>
    </row>
    <row r="82" customFormat="false" ht="15.75" hidden="false" customHeight="false" outlineLevel="0" collapsed="false">
      <c r="I82" s="0" t="n">
        <f aca="false">IF(F82="",0,IFERROR(VALUE(LEFT(TRIM(F82),FIND(" ",TRIM(F82))-1)),0))</f>
        <v>0</v>
      </c>
    </row>
    <row r="83" customFormat="false" ht="15.75" hidden="false" customHeight="false" outlineLevel="0" collapsed="false">
      <c r="I83" s="0" t="n">
        <f aca="false">IF(F83="",0,IFERROR(VALUE(LEFT(TRIM(F83),FIND(" ",TRIM(F83))-1)),0))</f>
        <v>0</v>
      </c>
    </row>
    <row r="84" customFormat="false" ht="15.75" hidden="false" customHeight="false" outlineLevel="0" collapsed="false">
      <c r="I84" s="0" t="n">
        <f aca="false">IF(F84="",0,IFERROR(VALUE(LEFT(TRIM(F84),FIND(" ",TRIM(F84))-1)),0))</f>
        <v>0</v>
      </c>
    </row>
    <row r="85" customFormat="false" ht="15.75" hidden="false" customHeight="false" outlineLevel="0" collapsed="false">
      <c r="I85" s="0" t="n">
        <f aca="false">IF(F85="",0,IFERROR(VALUE(LEFT(TRIM(F85),FIND(" ",TRIM(F85))-1)),0))</f>
        <v>0</v>
      </c>
    </row>
    <row r="86" customFormat="false" ht="15.75" hidden="false" customHeight="false" outlineLevel="0" collapsed="false">
      <c r="I86" s="0" t="n">
        <f aca="false">IF(F86="",0,IFERROR(VALUE(LEFT(TRIM(F86),FIND(" ",TRIM(F86))-1)),0))</f>
        <v>0</v>
      </c>
    </row>
    <row r="87" customFormat="false" ht="15.75" hidden="false" customHeight="false" outlineLevel="0" collapsed="false">
      <c r="I87" s="0" t="n">
        <f aca="false">IF(F87="",0,IFERROR(VALUE(LEFT(TRIM(F87),FIND(" ",TRIM(F87))-1)),0))</f>
        <v>0</v>
      </c>
    </row>
    <row r="88" customFormat="false" ht="15.75" hidden="false" customHeight="false" outlineLevel="0" collapsed="false">
      <c r="I88" s="0" t="n">
        <f aca="false">IF(F88="",0,IFERROR(VALUE(LEFT(TRIM(F88),FIND(" ",TRIM(F88))-1)),0))</f>
        <v>0</v>
      </c>
    </row>
    <row r="89" customFormat="false" ht="15.75" hidden="false" customHeight="false" outlineLevel="0" collapsed="false">
      <c r="I89" s="0" t="n">
        <f aca="false">IF(F89="",0,IFERROR(VALUE(LEFT(TRIM(F89),FIND(" ",TRIM(F89))-1)),0))</f>
        <v>0</v>
      </c>
    </row>
    <row r="90" customFormat="false" ht="15.75" hidden="false" customHeight="false" outlineLevel="0" collapsed="false">
      <c r="I90" s="0" t="n">
        <f aca="false">IF(F90="",0,IFERROR(VALUE(LEFT(TRIM(F90),FIND(" ",TRIM(F90))-1)),0))</f>
        <v>0</v>
      </c>
    </row>
    <row r="91" customFormat="false" ht="15.75" hidden="false" customHeight="false" outlineLevel="0" collapsed="false">
      <c r="I91" s="0" t="n">
        <f aca="false">IF(F91="",0,IFERROR(VALUE(LEFT(TRIM(F91),FIND(" ",TRIM(F91))-1)),0))</f>
        <v>0</v>
      </c>
    </row>
    <row r="92" customFormat="false" ht="15.75" hidden="false" customHeight="false" outlineLevel="0" collapsed="false">
      <c r="I92" s="0" t="n">
        <f aca="false">IF(F92="",0,IFERROR(VALUE(LEFT(TRIM(F92),FIND(" ",TRIM(F92))-1)),0))</f>
        <v>0</v>
      </c>
    </row>
    <row r="93" customFormat="false" ht="15.75" hidden="false" customHeight="false" outlineLevel="0" collapsed="false">
      <c r="I93" s="0" t="n">
        <f aca="false">IF(F93="",0,IFERROR(VALUE(LEFT(TRIM(F93),FIND(" ",TRIM(F93))-1)),0))</f>
        <v>0</v>
      </c>
    </row>
    <row r="94" customFormat="false" ht="15.75" hidden="false" customHeight="false" outlineLevel="0" collapsed="false">
      <c r="I94" s="0" t="n">
        <f aca="false">IF(F94="",0,IFERROR(VALUE(LEFT(TRIM(F94),FIND(" ",TRIM(F94))-1)),0))</f>
        <v>0</v>
      </c>
    </row>
    <row r="95" customFormat="false" ht="15.75" hidden="false" customHeight="false" outlineLevel="0" collapsed="false">
      <c r="I95" s="0" t="n">
        <f aca="false">IF(F95="",0,IFERROR(VALUE(LEFT(TRIM(F95),FIND(" ",TRIM(F95))-1)),0))</f>
        <v>0</v>
      </c>
    </row>
    <row r="96" customFormat="false" ht="15.75" hidden="false" customHeight="false" outlineLevel="0" collapsed="false">
      <c r="I96" s="0" t="n">
        <f aca="false">IF(F96="",0,IFERROR(VALUE(LEFT(TRIM(F96),FIND(" ",TRIM(F96))-1)),0))</f>
        <v>0</v>
      </c>
    </row>
    <row r="97" customFormat="false" ht="15.75" hidden="false" customHeight="false" outlineLevel="0" collapsed="false">
      <c r="I97" s="0" t="n">
        <f aca="false">IF(F97="",0,IFERROR(VALUE(LEFT(TRIM(F97),FIND(" ",TRIM(F97))-1)),0))</f>
        <v>0</v>
      </c>
    </row>
    <row r="98" customFormat="false" ht="15.75" hidden="false" customHeight="false" outlineLevel="0" collapsed="false">
      <c r="I98" s="0" t="n">
        <f aca="false">IF(F98="",0,IFERROR(VALUE(LEFT(TRIM(F98),FIND(" ",TRIM(F98))-1)),0))</f>
        <v>0</v>
      </c>
    </row>
    <row r="99" customFormat="false" ht="15.75" hidden="false" customHeight="false" outlineLevel="0" collapsed="false">
      <c r="I99" s="0" t="n">
        <f aca="false">IF(F99="",0,IFERROR(VALUE(LEFT(TRIM(F99),FIND(" ",TRIM(F99))-1)),0))</f>
        <v>0</v>
      </c>
    </row>
    <row r="100" customFormat="false" ht="15.75" hidden="false" customHeight="false" outlineLevel="0" collapsed="false">
      <c r="I100" s="0" t="n">
        <f aca="false">IF(F100="",0,IFERROR(VALUE(LEFT(TRIM(F100),FIND(" ",TRIM(F100))-1)),0))</f>
        <v>0</v>
      </c>
    </row>
    <row r="101" customFormat="false" ht="15.75" hidden="false" customHeight="false" outlineLevel="0" collapsed="false">
      <c r="I101" s="0" t="n">
        <f aca="false">IF(F101="",0,IFERROR(VALUE(LEFT(TRIM(F101),FIND(" ",TRIM(F101))-1)),0))</f>
        <v>0</v>
      </c>
    </row>
    <row r="102" customFormat="false" ht="15.75" hidden="false" customHeight="false" outlineLevel="0" collapsed="false">
      <c r="I102" s="0" t="n">
        <f aca="false">IF(F102="",0,IFERROR(VALUE(LEFT(TRIM(F102),FIND(" ",TRIM(F102))-1)),0))</f>
        <v>0</v>
      </c>
    </row>
    <row r="103" customFormat="false" ht="15.75" hidden="false" customHeight="false" outlineLevel="0" collapsed="false">
      <c r="I103" s="0" t="n">
        <f aca="false">IF(F103="",0,IFERROR(VALUE(LEFT(TRIM(F103),FIND(" ",TRIM(F103))-1)),0))</f>
        <v>0</v>
      </c>
    </row>
    <row r="104" customFormat="false" ht="15.75" hidden="false" customHeight="false" outlineLevel="0" collapsed="false">
      <c r="I104" s="0" t="n">
        <f aca="false">IF(F104="",0,IFERROR(VALUE(LEFT(TRIM(F104),FIND(" ",TRIM(F104))-1)),0))</f>
        <v>0</v>
      </c>
    </row>
    <row r="105" customFormat="false" ht="15.75" hidden="false" customHeight="false" outlineLevel="0" collapsed="false">
      <c r="I105" s="0" t="n">
        <f aca="false">IF(F105="",0,IFERROR(VALUE(LEFT(TRIM(F105),FIND(" ",TRIM(F105))-1)),0))</f>
        <v>0</v>
      </c>
    </row>
    <row r="106" customFormat="false" ht="15.75" hidden="false" customHeight="false" outlineLevel="0" collapsed="false">
      <c r="I106" s="0" t="n">
        <f aca="false">IF(F106="",0,IFERROR(VALUE(LEFT(TRIM(F106),FIND(" ",TRIM(F106))-1)),0))</f>
        <v>0</v>
      </c>
    </row>
    <row r="107" customFormat="false" ht="15.75" hidden="false" customHeight="false" outlineLevel="0" collapsed="false">
      <c r="I107" s="0" t="n">
        <f aca="false">IF(F107="",0,IFERROR(VALUE(LEFT(TRIM(F107),FIND(" ",TRIM(F107))-1)),0))</f>
        <v>0</v>
      </c>
    </row>
    <row r="108" customFormat="false" ht="15.75" hidden="false" customHeight="false" outlineLevel="0" collapsed="false">
      <c r="I108" s="0" t="n">
        <f aca="false">IF(F108="",0,IFERROR(VALUE(LEFT(TRIM(F108),FIND(" ",TRIM(F108))-1)),0))</f>
        <v>0</v>
      </c>
    </row>
    <row r="109" customFormat="false" ht="15.75" hidden="false" customHeight="false" outlineLevel="0" collapsed="false">
      <c r="I109" s="0" t="n">
        <f aca="false">IF(F109="",0,IFERROR(VALUE(LEFT(TRIM(F109),FIND(" ",TRIM(F109))-1)),0))</f>
        <v>0</v>
      </c>
    </row>
    <row r="110" customFormat="false" ht="15.75" hidden="false" customHeight="false" outlineLevel="0" collapsed="false">
      <c r="I110" s="0" t="n">
        <f aca="false">IF(F110="",0,IFERROR(VALUE(LEFT(TRIM(F110),FIND(" ",TRIM(F110))-1)),0))</f>
        <v>0</v>
      </c>
    </row>
    <row r="111" customFormat="false" ht="15.75" hidden="false" customHeight="false" outlineLevel="0" collapsed="false">
      <c r="I111" s="0" t="n">
        <f aca="false">IF(F111="",0,IFERROR(VALUE(LEFT(TRIM(F111),FIND(" ",TRIM(F111))-1)),0))</f>
        <v>0</v>
      </c>
    </row>
    <row r="112" customFormat="false" ht="15.75" hidden="false" customHeight="false" outlineLevel="0" collapsed="false">
      <c r="I112" s="0" t="n">
        <f aca="false">IF(F112="",0,IFERROR(VALUE(LEFT(TRIM(F112),FIND(" ",TRIM(F112))-1)),0))</f>
        <v>0</v>
      </c>
    </row>
    <row r="113" customFormat="false" ht="15.75" hidden="false" customHeight="false" outlineLevel="0" collapsed="false">
      <c r="I113" s="0" t="n">
        <f aca="false">IF(F113="",0,IFERROR(VALUE(LEFT(TRIM(F113),FIND(" ",TRIM(F113))-1)),0))</f>
        <v>0</v>
      </c>
    </row>
    <row r="114" customFormat="false" ht="15.75" hidden="false" customHeight="false" outlineLevel="0" collapsed="false">
      <c r="I114" s="0" t="n">
        <f aca="false">IF(F114="",0,IFERROR(VALUE(LEFT(TRIM(F114),FIND(" ",TRIM(F114))-1)),0))</f>
        <v>0</v>
      </c>
    </row>
    <row r="115" customFormat="false" ht="15.75" hidden="false" customHeight="false" outlineLevel="0" collapsed="false">
      <c r="I115" s="0" t="n">
        <f aca="false">IF(F115="",0,IFERROR(VALUE(LEFT(TRIM(F115),FIND(" ",TRIM(F115))-1)),0))</f>
        <v>0</v>
      </c>
    </row>
    <row r="116" customFormat="false" ht="15.75" hidden="false" customHeight="false" outlineLevel="0" collapsed="false">
      <c r="I116" s="0" t="n">
        <f aca="false">IF(F116="",0,IFERROR(VALUE(LEFT(TRIM(F116),FIND(" ",TRIM(F116))-1)),0))</f>
        <v>0</v>
      </c>
    </row>
    <row r="117" customFormat="false" ht="15.75" hidden="false" customHeight="false" outlineLevel="0" collapsed="false">
      <c r="I117" s="0" t="n">
        <f aca="false">IF(F117="",0,IFERROR(VALUE(LEFT(TRIM(F117),FIND(" ",TRIM(F117))-1)),0))</f>
        <v>0</v>
      </c>
    </row>
    <row r="118" customFormat="false" ht="15.75" hidden="false" customHeight="false" outlineLevel="0" collapsed="false">
      <c r="I118" s="0" t="n">
        <f aca="false">IF(F118="",0,IFERROR(VALUE(LEFT(TRIM(F118),FIND(" ",TRIM(F118))-1)),0))</f>
        <v>0</v>
      </c>
    </row>
    <row r="119" customFormat="false" ht="15.75" hidden="false" customHeight="false" outlineLevel="0" collapsed="false">
      <c r="I119" s="0" t="n">
        <f aca="false">IF(F119="",0,IFERROR(VALUE(LEFT(TRIM(F119),FIND(" ",TRIM(F119))-1)),0))</f>
        <v>0</v>
      </c>
    </row>
    <row r="120" customFormat="false" ht="15.75" hidden="false" customHeight="false" outlineLevel="0" collapsed="false">
      <c r="I120" s="0" t="n">
        <f aca="false">IF(F120="",0,IFERROR(VALUE(LEFT(TRIM(F120),FIND(" ",TRIM(F120))-1)),0))</f>
        <v>0</v>
      </c>
    </row>
    <row r="121" customFormat="false" ht="15.75" hidden="false" customHeight="false" outlineLevel="0" collapsed="false">
      <c r="I121" s="0" t="n">
        <f aca="false">IF(F121="",0,IFERROR(VALUE(LEFT(TRIM(F121),FIND(" ",TRIM(F121))-1)),0))</f>
        <v>0</v>
      </c>
    </row>
    <row r="122" customFormat="false" ht="15.75" hidden="false" customHeight="false" outlineLevel="0" collapsed="false">
      <c r="I122" s="0" t="n">
        <f aca="false">IF(F122="",0,IFERROR(VALUE(LEFT(TRIM(F122),FIND(" ",TRIM(F122))-1)),0))</f>
        <v>0</v>
      </c>
    </row>
    <row r="123" customFormat="false" ht="15.75" hidden="false" customHeight="false" outlineLevel="0" collapsed="false">
      <c r="I123" s="0" t="n">
        <f aca="false">IF(F123="",0,IFERROR(VALUE(LEFT(TRIM(F123),FIND(" ",TRIM(F123))-1)),0))</f>
        <v>0</v>
      </c>
    </row>
    <row r="124" customFormat="false" ht="15.75" hidden="false" customHeight="false" outlineLevel="0" collapsed="false">
      <c r="I124" s="0" t="n">
        <f aca="false">IF(F124="",0,IFERROR(VALUE(LEFT(TRIM(F124),FIND(" ",TRIM(F124))-1)),0))</f>
        <v>0</v>
      </c>
    </row>
    <row r="125" customFormat="false" ht="15.75" hidden="false" customHeight="false" outlineLevel="0" collapsed="false">
      <c r="I125" s="0" t="n">
        <f aca="false">IF(F125="",0,IFERROR(VALUE(LEFT(TRIM(F125),FIND(" ",TRIM(F125))-1)),0))</f>
        <v>0</v>
      </c>
    </row>
    <row r="126" customFormat="false" ht="15.75" hidden="false" customHeight="false" outlineLevel="0" collapsed="false">
      <c r="I126" s="0" t="n">
        <f aca="false">IF(F126="",0,IFERROR(VALUE(LEFT(TRIM(F126),FIND(" ",TRIM(F126))-1)),0))</f>
        <v>0</v>
      </c>
    </row>
    <row r="127" customFormat="false" ht="15.75" hidden="false" customHeight="false" outlineLevel="0" collapsed="false">
      <c r="I127" s="0" t="n">
        <f aca="false">IF(F127="",0,IFERROR(VALUE(LEFT(TRIM(F127),FIND(" ",TRIM(F127))-1)),0))</f>
        <v>0</v>
      </c>
    </row>
    <row r="128" customFormat="false" ht="15.75" hidden="false" customHeight="false" outlineLevel="0" collapsed="false">
      <c r="I128" s="0" t="n">
        <f aca="false">IF(F128="",0,IFERROR(VALUE(LEFT(TRIM(F128),FIND(" ",TRIM(F128))-1)),0))</f>
        <v>0</v>
      </c>
    </row>
    <row r="129" customFormat="false" ht="15.75" hidden="false" customHeight="false" outlineLevel="0" collapsed="false">
      <c r="I129" s="0" t="n">
        <f aca="false">IF(F129="",0,IFERROR(VALUE(LEFT(TRIM(F129),FIND(" ",TRIM(F129))-1)),0))</f>
        <v>0</v>
      </c>
    </row>
    <row r="130" customFormat="false" ht="15.75" hidden="false" customHeight="false" outlineLevel="0" collapsed="false">
      <c r="I130" s="0" t="n">
        <f aca="false">IF(F130="",0,IFERROR(VALUE(LEFT(TRIM(F130),FIND(" ",TRIM(F130))-1)),0))</f>
        <v>0</v>
      </c>
    </row>
    <row r="131" customFormat="false" ht="15.75" hidden="false" customHeight="false" outlineLevel="0" collapsed="false">
      <c r="I131" s="0" t="n">
        <f aca="false">IF(F131="",0,IFERROR(VALUE(LEFT(TRIM(F131),FIND(" ",TRIM(F131))-1)),0))</f>
        <v>0</v>
      </c>
    </row>
    <row r="132" customFormat="false" ht="15.75" hidden="false" customHeight="false" outlineLevel="0" collapsed="false">
      <c r="I132" s="0" t="n">
        <f aca="false">IF(F132="",0,IFERROR(VALUE(LEFT(TRIM(F132),FIND(" ",TRIM(F132))-1)),0))</f>
        <v>0</v>
      </c>
    </row>
    <row r="133" customFormat="false" ht="15.75" hidden="false" customHeight="false" outlineLevel="0" collapsed="false">
      <c r="I133" s="0" t="n">
        <f aca="false">IF(F133="",0,IFERROR(VALUE(LEFT(TRIM(F133),FIND(" ",TRIM(F133))-1)),0))</f>
        <v>0</v>
      </c>
    </row>
    <row r="134" customFormat="false" ht="15.75" hidden="false" customHeight="false" outlineLevel="0" collapsed="false">
      <c r="I134" s="0" t="n">
        <f aca="false">IF(F134="",0,IFERROR(VALUE(LEFT(TRIM(F134),FIND(" ",TRIM(F134))-1)),0))</f>
        <v>0</v>
      </c>
    </row>
    <row r="135" customFormat="false" ht="15.75" hidden="false" customHeight="false" outlineLevel="0" collapsed="false">
      <c r="I135" s="0" t="n">
        <f aca="false">IF(F135="",0,IFERROR(VALUE(LEFT(TRIM(F135),FIND(" ",TRIM(F135))-1)),0))</f>
        <v>0</v>
      </c>
    </row>
    <row r="136" customFormat="false" ht="15.75" hidden="false" customHeight="false" outlineLevel="0" collapsed="false">
      <c r="I136" s="0" t="n">
        <f aca="false">IF(F136="",0,IFERROR(VALUE(LEFT(TRIM(F136),FIND(" ",TRIM(F136))-1)),0))</f>
        <v>0</v>
      </c>
    </row>
    <row r="137" customFormat="false" ht="15.75" hidden="false" customHeight="false" outlineLevel="0" collapsed="false">
      <c r="I137" s="0" t="n">
        <f aca="false">IF(F137="",0,IFERROR(VALUE(LEFT(TRIM(F137),FIND(" ",TRIM(F137))-1)),0))</f>
        <v>0</v>
      </c>
    </row>
    <row r="138" customFormat="false" ht="15.75" hidden="false" customHeight="false" outlineLevel="0" collapsed="false">
      <c r="I138" s="0" t="n">
        <f aca="false">IF(F138="",0,IFERROR(VALUE(LEFT(TRIM(F138),FIND(" ",TRIM(F138))-1)),0))</f>
        <v>0</v>
      </c>
    </row>
    <row r="139" customFormat="false" ht="15.75" hidden="false" customHeight="false" outlineLevel="0" collapsed="false">
      <c r="I139" s="0" t="n">
        <f aca="false">IF(F139="",0,IFERROR(VALUE(LEFT(TRIM(F139),FIND(" ",TRIM(F139))-1)),0))</f>
        <v>0</v>
      </c>
    </row>
    <row r="140" customFormat="false" ht="15.75" hidden="false" customHeight="false" outlineLevel="0" collapsed="false">
      <c r="I140" s="0" t="n">
        <f aca="false">IF(F140="",0,IFERROR(VALUE(LEFT(TRIM(F140),FIND(" ",TRIM(F140))-1)),0))</f>
        <v>0</v>
      </c>
    </row>
    <row r="141" customFormat="false" ht="15.75" hidden="false" customHeight="false" outlineLevel="0" collapsed="false">
      <c r="I141" s="0" t="n">
        <f aca="false">IF(F141="",0,IFERROR(VALUE(LEFT(TRIM(F141),FIND(" ",TRIM(F141))-1)),0))</f>
        <v>0</v>
      </c>
    </row>
    <row r="142" customFormat="false" ht="15.75" hidden="false" customHeight="false" outlineLevel="0" collapsed="false">
      <c r="I142" s="0" t="n">
        <f aca="false">IF(F142="",0,IFERROR(VALUE(LEFT(TRIM(F142),FIND(" ",TRIM(F142))-1)),0))</f>
        <v>0</v>
      </c>
    </row>
    <row r="143" customFormat="false" ht="15.75" hidden="false" customHeight="false" outlineLevel="0" collapsed="false">
      <c r="I143" s="0" t="n">
        <f aca="false">IF(F143="",0,IFERROR(VALUE(LEFT(TRIM(F143),FIND(" ",TRIM(F143))-1)),0))</f>
        <v>0</v>
      </c>
    </row>
    <row r="144" customFormat="false" ht="15.75" hidden="false" customHeight="false" outlineLevel="0" collapsed="false">
      <c r="I144" s="0" t="n">
        <f aca="false">IF(F144="",0,IFERROR(VALUE(LEFT(TRIM(F144),FIND(" ",TRIM(F144))-1)),0))</f>
        <v>0</v>
      </c>
    </row>
    <row r="145" customFormat="false" ht="15.75" hidden="false" customHeight="false" outlineLevel="0" collapsed="false">
      <c r="I145" s="0" t="n">
        <f aca="false">IF(F145="",0,IFERROR(VALUE(LEFT(TRIM(F145),FIND(" ",TRIM(F145))-1)),0))</f>
        <v>0</v>
      </c>
    </row>
    <row r="146" customFormat="false" ht="15.75" hidden="false" customHeight="false" outlineLevel="0" collapsed="false">
      <c r="I146" s="0" t="n">
        <f aca="false">IF(F146="",0,IFERROR(VALUE(LEFT(TRIM(F146),FIND(" ",TRIM(F146))-1)),0))</f>
        <v>0</v>
      </c>
    </row>
    <row r="147" customFormat="false" ht="15.75" hidden="false" customHeight="false" outlineLevel="0" collapsed="false">
      <c r="I147" s="0" t="n">
        <f aca="false">IF(F147="",0,IFERROR(VALUE(LEFT(TRIM(F147),FIND(" ",TRIM(F147))-1)),0))</f>
        <v>0</v>
      </c>
    </row>
    <row r="148" customFormat="false" ht="15.75" hidden="false" customHeight="false" outlineLevel="0" collapsed="false">
      <c r="I148" s="0" t="n">
        <f aca="false">IF(F148="",0,IFERROR(VALUE(LEFT(TRIM(F148),FIND(" ",TRIM(F148))-1)),0))</f>
        <v>0</v>
      </c>
    </row>
    <row r="149" customFormat="false" ht="15.75" hidden="false" customHeight="false" outlineLevel="0" collapsed="false">
      <c r="I149" s="0" t="n">
        <f aca="false">IF(F149="",0,IFERROR(VALUE(LEFT(TRIM(F149),FIND(" ",TRIM(F149))-1)),0))</f>
        <v>0</v>
      </c>
    </row>
    <row r="150" customFormat="false" ht="15.75" hidden="false" customHeight="false" outlineLevel="0" collapsed="false">
      <c r="I150" s="0" t="n">
        <f aca="false">IF(F150="",0,IFERROR(VALUE(LEFT(TRIM(F150),FIND(" ",TRIM(F150))-1)),0))</f>
        <v>0</v>
      </c>
    </row>
    <row r="151" customFormat="false" ht="15.75" hidden="false" customHeight="false" outlineLevel="0" collapsed="false">
      <c r="I151" s="0" t="n">
        <f aca="false">IF(F151="",0,IFERROR(VALUE(LEFT(TRIM(F151),FIND(" ",TRIM(F151))-1)),0))</f>
        <v>0</v>
      </c>
    </row>
    <row r="152" customFormat="false" ht="15.75" hidden="false" customHeight="false" outlineLevel="0" collapsed="false">
      <c r="I152" s="0" t="n">
        <f aca="false">IF(F152="",0,IFERROR(VALUE(LEFT(TRIM(F152),FIND(" ",TRIM(F152))-1)),0))</f>
        <v>0</v>
      </c>
    </row>
    <row r="153" customFormat="false" ht="15.75" hidden="false" customHeight="false" outlineLevel="0" collapsed="false">
      <c r="I153" s="0" t="n">
        <f aca="false">IF(F153="",0,IFERROR(VALUE(LEFT(TRIM(F153),FIND(" ",TRIM(F153))-1)),0))</f>
        <v>0</v>
      </c>
    </row>
    <row r="154" customFormat="false" ht="15.75" hidden="false" customHeight="false" outlineLevel="0" collapsed="false">
      <c r="I154" s="0" t="n">
        <f aca="false">IF(F154="",0,IFERROR(VALUE(LEFT(TRIM(F154),FIND(" ",TRIM(F154))-1)),0))</f>
        <v>0</v>
      </c>
    </row>
    <row r="155" customFormat="false" ht="15.75" hidden="false" customHeight="false" outlineLevel="0" collapsed="false">
      <c r="I155" s="0" t="n">
        <f aca="false">IF(F155="",0,IFERROR(VALUE(LEFT(TRIM(F155),FIND(" ",TRIM(F155))-1)),0))</f>
        <v>0</v>
      </c>
    </row>
    <row r="156" customFormat="false" ht="15.75" hidden="false" customHeight="false" outlineLevel="0" collapsed="false">
      <c r="I156" s="0" t="n">
        <f aca="false">IF(F156="",0,IFERROR(VALUE(LEFT(TRIM(F156),FIND(" ",TRIM(F156))-1)),0))</f>
        <v>0</v>
      </c>
    </row>
    <row r="157" customFormat="false" ht="15.75" hidden="false" customHeight="false" outlineLevel="0" collapsed="false">
      <c r="I157" s="0" t="n">
        <f aca="false">IF(F157="",0,IFERROR(VALUE(LEFT(TRIM(F157),FIND(" ",TRIM(F157))-1)),0))</f>
        <v>0</v>
      </c>
    </row>
    <row r="158" customFormat="false" ht="15.75" hidden="false" customHeight="false" outlineLevel="0" collapsed="false">
      <c r="I158" s="0" t="n">
        <f aca="false">IF(F158="",0,IFERROR(VALUE(LEFT(TRIM(F158),FIND(" ",TRIM(F158))-1)),0))</f>
        <v>0</v>
      </c>
    </row>
    <row r="159" customFormat="false" ht="15.75" hidden="false" customHeight="false" outlineLevel="0" collapsed="false">
      <c r="I159" s="0" t="n">
        <f aca="false">IF(F159="",0,IFERROR(VALUE(LEFT(TRIM(F159),FIND(" ",TRIM(F159))-1)),0))</f>
        <v>0</v>
      </c>
    </row>
    <row r="160" customFormat="false" ht="15.75" hidden="false" customHeight="false" outlineLevel="0" collapsed="false">
      <c r="I160" s="0" t="n">
        <f aca="false">IF(F160="",0,IFERROR(VALUE(LEFT(TRIM(F160),FIND(" ",TRIM(F160))-1)),0))</f>
        <v>0</v>
      </c>
    </row>
    <row r="161" customFormat="false" ht="15.75" hidden="false" customHeight="false" outlineLevel="0" collapsed="false">
      <c r="I161" s="0" t="n">
        <f aca="false">IF(F161="",0,IFERROR(VALUE(LEFT(TRIM(F161),FIND(" ",TRIM(F161))-1)),0))</f>
        <v>0</v>
      </c>
    </row>
    <row r="162" customFormat="false" ht="15.75" hidden="false" customHeight="false" outlineLevel="0" collapsed="false">
      <c r="I162" s="0" t="n">
        <f aca="false">IF(F162="",0,IFERROR(VALUE(LEFT(TRIM(F162),FIND(" ",TRIM(F162))-1)),0))</f>
        <v>0</v>
      </c>
    </row>
    <row r="163" customFormat="false" ht="15.75" hidden="false" customHeight="false" outlineLevel="0" collapsed="false">
      <c r="I163" s="0" t="n">
        <f aca="false">IF(F163="",0,IFERROR(VALUE(LEFT(TRIM(F163),FIND(" ",TRIM(F163))-1)),0))</f>
        <v>0</v>
      </c>
    </row>
    <row r="164" customFormat="false" ht="15.75" hidden="false" customHeight="false" outlineLevel="0" collapsed="false">
      <c r="I164" s="0" t="n">
        <f aca="false">IF(F164="",0,IFERROR(VALUE(LEFT(TRIM(F164),FIND(" ",TRIM(F164))-1)),0))</f>
        <v>0</v>
      </c>
    </row>
    <row r="165" customFormat="false" ht="15.75" hidden="false" customHeight="false" outlineLevel="0" collapsed="false">
      <c r="I165" s="0" t="n">
        <f aca="false">IF(F165="",0,IFERROR(VALUE(LEFT(TRIM(F165),FIND(" ",TRIM(F165))-1)),0))</f>
        <v>0</v>
      </c>
    </row>
    <row r="166" customFormat="false" ht="15.75" hidden="false" customHeight="false" outlineLevel="0" collapsed="false">
      <c r="I166" s="0" t="n">
        <f aca="false">IF(F166="",0,IFERROR(VALUE(LEFT(TRIM(F166),FIND(" ",TRIM(F166))-1)),0))</f>
        <v>0</v>
      </c>
    </row>
    <row r="167" customFormat="false" ht="15.75" hidden="false" customHeight="false" outlineLevel="0" collapsed="false">
      <c r="I167" s="0" t="n">
        <f aca="false">IF(F167="",0,IFERROR(VALUE(LEFT(TRIM(F167),FIND(" ",TRIM(F167))-1)),0))</f>
        <v>0</v>
      </c>
    </row>
    <row r="168" customFormat="false" ht="15.75" hidden="false" customHeight="false" outlineLevel="0" collapsed="false">
      <c r="I168" s="0" t="n">
        <f aca="false">IF(F168="",0,IFERROR(VALUE(LEFT(TRIM(F168),FIND(" ",TRIM(F168))-1)),0))</f>
        <v>0</v>
      </c>
    </row>
    <row r="169" customFormat="false" ht="15.75" hidden="false" customHeight="false" outlineLevel="0" collapsed="false">
      <c r="I169" s="0" t="n">
        <f aca="false">IF(F169="",0,IFERROR(VALUE(LEFT(TRIM(F169),FIND(" ",TRIM(F169))-1)),0))</f>
        <v>0</v>
      </c>
    </row>
    <row r="170" customFormat="false" ht="15.75" hidden="false" customHeight="false" outlineLevel="0" collapsed="false">
      <c r="I170" s="0" t="n">
        <f aca="false">IF(F170="",0,IFERROR(VALUE(LEFT(TRIM(F170),FIND(" ",TRIM(F170))-1)),0))</f>
        <v>0</v>
      </c>
    </row>
    <row r="171" customFormat="false" ht="15.75" hidden="false" customHeight="false" outlineLevel="0" collapsed="false">
      <c r="I171" s="0" t="n">
        <f aca="false">IF(F171="",0,IFERROR(VALUE(LEFT(TRIM(F171),FIND(" ",TRIM(F171))-1)),0))</f>
        <v>0</v>
      </c>
    </row>
    <row r="172" customFormat="false" ht="15.75" hidden="false" customHeight="false" outlineLevel="0" collapsed="false">
      <c r="I172" s="0" t="n">
        <f aca="false">IF(F172="",0,IFERROR(VALUE(LEFT(TRIM(F172),FIND(" ",TRIM(F172))-1)),0))</f>
        <v>0</v>
      </c>
    </row>
    <row r="173" customFormat="false" ht="15.75" hidden="false" customHeight="false" outlineLevel="0" collapsed="false">
      <c r="I173" s="0" t="n">
        <f aca="false">IF(F173="",0,IFERROR(VALUE(LEFT(TRIM(F173),FIND(" ",TRIM(F173))-1)),0))</f>
        <v>0</v>
      </c>
    </row>
    <row r="174" customFormat="false" ht="15.75" hidden="false" customHeight="false" outlineLevel="0" collapsed="false">
      <c r="I174" s="0" t="n">
        <f aca="false">IF(F174="",0,IFERROR(VALUE(LEFT(TRIM(F174),FIND(" ",TRIM(F174))-1)),0))</f>
        <v>0</v>
      </c>
    </row>
    <row r="175" customFormat="false" ht="15.75" hidden="false" customHeight="false" outlineLevel="0" collapsed="false">
      <c r="I175" s="0" t="n">
        <f aca="false">IF(F175="",0,IFERROR(VALUE(LEFT(TRIM(F175),FIND(" ",TRIM(F175))-1)),0))</f>
        <v>0</v>
      </c>
    </row>
    <row r="176" customFormat="false" ht="15.75" hidden="false" customHeight="false" outlineLevel="0" collapsed="false">
      <c r="I176" s="0" t="n">
        <f aca="false">IF(F176="",0,IFERROR(VALUE(LEFT(TRIM(F176),FIND(" ",TRIM(F176))-1)),0))</f>
        <v>0</v>
      </c>
    </row>
    <row r="177" customFormat="false" ht="15.75" hidden="false" customHeight="false" outlineLevel="0" collapsed="false">
      <c r="I177" s="0" t="n">
        <f aca="false">IF(F177="",0,IFERROR(VALUE(LEFT(TRIM(F177),FIND(" ",TRIM(F177))-1)),0))</f>
        <v>0</v>
      </c>
    </row>
    <row r="178" customFormat="false" ht="15.75" hidden="false" customHeight="false" outlineLevel="0" collapsed="false">
      <c r="I178" s="0" t="n">
        <f aca="false">IF(F178="",0,IFERROR(VALUE(LEFT(TRIM(F178),FIND(" ",TRIM(F178))-1)),0))</f>
        <v>0</v>
      </c>
    </row>
    <row r="179" customFormat="false" ht="15.75" hidden="false" customHeight="false" outlineLevel="0" collapsed="false">
      <c r="I179" s="0" t="n">
        <f aca="false">IF(F179="",0,IFERROR(VALUE(LEFT(TRIM(F179),FIND(" ",TRIM(F179))-1)),0))</f>
        <v>0</v>
      </c>
    </row>
    <row r="180" customFormat="false" ht="15.75" hidden="false" customHeight="false" outlineLevel="0" collapsed="false">
      <c r="I180" s="0" t="n">
        <f aca="false">IF(F180="",0,IFERROR(VALUE(LEFT(TRIM(F180),FIND(" ",TRIM(F180))-1)),0))</f>
        <v>0</v>
      </c>
    </row>
    <row r="181" customFormat="false" ht="15.75" hidden="false" customHeight="false" outlineLevel="0" collapsed="false">
      <c r="I181" s="0" t="n">
        <f aca="false">IF(F181="",0,IFERROR(VALUE(LEFT(TRIM(F181),FIND(" ",TRIM(F181))-1)),0))</f>
        <v>0</v>
      </c>
    </row>
    <row r="182" customFormat="false" ht="15.75" hidden="false" customHeight="false" outlineLevel="0" collapsed="false">
      <c r="I182" s="0" t="n">
        <f aca="false">IF(F182="",0,IFERROR(VALUE(LEFT(TRIM(F182),FIND(" ",TRIM(F182))-1)),0))</f>
        <v>0</v>
      </c>
    </row>
    <row r="183" customFormat="false" ht="15.75" hidden="false" customHeight="false" outlineLevel="0" collapsed="false">
      <c r="I183" s="0" t="n">
        <f aca="false">IF(F183="",0,IFERROR(VALUE(LEFT(TRIM(F183),FIND(" ",TRIM(F183))-1)),0))</f>
        <v>0</v>
      </c>
    </row>
    <row r="184" customFormat="false" ht="15.75" hidden="false" customHeight="false" outlineLevel="0" collapsed="false">
      <c r="I184" s="0" t="n">
        <f aca="false">IF(F184="",0,IFERROR(VALUE(LEFT(TRIM(F184),FIND(" ",TRIM(F184))-1)),0))</f>
        <v>0</v>
      </c>
    </row>
    <row r="185" customFormat="false" ht="15.75" hidden="false" customHeight="false" outlineLevel="0" collapsed="false">
      <c r="I185" s="0" t="n">
        <f aca="false">IF(F185="",0,IFERROR(VALUE(LEFT(TRIM(F185),FIND(" ",TRIM(F185))-1)),0))</f>
        <v>0</v>
      </c>
    </row>
    <row r="186" customFormat="false" ht="15.75" hidden="false" customHeight="false" outlineLevel="0" collapsed="false">
      <c r="I186" s="0" t="n">
        <f aca="false">IF(F186="",0,IFERROR(VALUE(LEFT(TRIM(F186),FIND(" ",TRIM(F186))-1)),0))</f>
        <v>0</v>
      </c>
    </row>
    <row r="187" customFormat="false" ht="15.75" hidden="false" customHeight="false" outlineLevel="0" collapsed="false">
      <c r="I187" s="0" t="n">
        <f aca="false">IF(F187="",0,IFERROR(VALUE(LEFT(TRIM(F187),FIND(" ",TRIM(F187))-1)),0))</f>
        <v>0</v>
      </c>
    </row>
    <row r="188" customFormat="false" ht="15.75" hidden="false" customHeight="false" outlineLevel="0" collapsed="false">
      <c r="I188" s="0" t="n">
        <f aca="false">IF(F188="",0,IFERROR(VALUE(LEFT(TRIM(F188),FIND(" ",TRIM(F188))-1)),0))</f>
        <v>0</v>
      </c>
    </row>
    <row r="189" customFormat="false" ht="15.75" hidden="false" customHeight="false" outlineLevel="0" collapsed="false">
      <c r="I189" s="0" t="n">
        <f aca="false">IF(F189="",0,IFERROR(VALUE(LEFT(TRIM(F189),FIND(" ",TRIM(F189))-1)),0))</f>
        <v>0</v>
      </c>
    </row>
    <row r="190" customFormat="false" ht="15.75" hidden="false" customHeight="false" outlineLevel="0" collapsed="false">
      <c r="I190" s="0" t="n">
        <f aca="false">IF(F190="",0,IFERROR(VALUE(LEFT(TRIM(F190),FIND(" ",TRIM(F190))-1)),0))</f>
        <v>0</v>
      </c>
    </row>
    <row r="191" customFormat="false" ht="15.75" hidden="false" customHeight="false" outlineLevel="0" collapsed="false">
      <c r="I191" s="0" t="n">
        <f aca="false">IF(F191="",0,IFERROR(VALUE(LEFT(TRIM(F191),FIND(" ",TRIM(F191))-1)),0))</f>
        <v>0</v>
      </c>
    </row>
    <row r="192" customFormat="false" ht="15.75" hidden="false" customHeight="false" outlineLevel="0" collapsed="false">
      <c r="I192" s="0" t="n">
        <f aca="false">IF(F192="",0,IFERROR(VALUE(LEFT(TRIM(F192),FIND(" ",TRIM(F192))-1)),0))</f>
        <v>0</v>
      </c>
    </row>
    <row r="193" customFormat="false" ht="15.75" hidden="false" customHeight="false" outlineLevel="0" collapsed="false">
      <c r="I193" s="0" t="n">
        <f aca="false">IF(F193="",0,IFERROR(VALUE(LEFT(TRIM(F193),FIND(" ",TRIM(F193))-1)),0))</f>
        <v>0</v>
      </c>
    </row>
    <row r="194" customFormat="false" ht="15.75" hidden="false" customHeight="false" outlineLevel="0" collapsed="false">
      <c r="I194" s="0" t="n">
        <f aca="false">IF(F194="",0,IFERROR(VALUE(LEFT(TRIM(F194),FIND(" ",TRIM(F194))-1)),0))</f>
        <v>0</v>
      </c>
    </row>
    <row r="195" customFormat="false" ht="15.75" hidden="false" customHeight="false" outlineLevel="0" collapsed="false">
      <c r="I195" s="0" t="n">
        <f aca="false">IF(F195="",0,IFERROR(VALUE(LEFT(TRIM(F195),FIND(" ",TRIM(F195))-1)),0))</f>
        <v>0</v>
      </c>
    </row>
    <row r="196" customFormat="false" ht="15.75" hidden="false" customHeight="false" outlineLevel="0" collapsed="false">
      <c r="I196" s="0" t="n">
        <f aca="false">IF(F196="",0,IFERROR(VALUE(LEFT(TRIM(F196),FIND(" ",TRIM(F196))-1)),0))</f>
        <v>0</v>
      </c>
    </row>
    <row r="197" customFormat="false" ht="15.75" hidden="false" customHeight="false" outlineLevel="0" collapsed="false">
      <c r="I197" s="0" t="n">
        <f aca="false">IF(F197="",0,IFERROR(VALUE(LEFT(TRIM(F197),FIND(" ",TRIM(F197))-1)),0))</f>
        <v>0</v>
      </c>
    </row>
    <row r="198" customFormat="false" ht="15.75" hidden="false" customHeight="false" outlineLevel="0" collapsed="false">
      <c r="I198" s="0" t="n">
        <f aca="false">IF(F198="",0,IFERROR(VALUE(LEFT(TRIM(F198),FIND(" ",TRIM(F198))-1)),0))</f>
        <v>0</v>
      </c>
    </row>
    <row r="199" customFormat="false" ht="15.75" hidden="false" customHeight="false" outlineLevel="0" collapsed="false">
      <c r="I199" s="0" t="n">
        <f aca="false">IF(F199="",0,IFERROR(VALUE(LEFT(TRIM(F199),FIND(" ",TRIM(F199))-1)),0))</f>
        <v>0</v>
      </c>
    </row>
    <row r="200" customFormat="false" ht="15.75" hidden="false" customHeight="false" outlineLevel="0" collapsed="false">
      <c r="I200" s="0" t="n">
        <f aca="false">IF(F200="",0,IFERROR(VALUE(LEFT(TRIM(F200),FIND(" ",TRIM(F200))-1)),0))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36.5"/>
  </cols>
  <sheetData>
    <row r="1" customFormat="false" ht="15.75" hidden="false" customHeight="false" outlineLevel="0" collapsed="false">
      <c r="A1" s="1" t="s">
        <v>106</v>
      </c>
      <c r="B1" s="1"/>
      <c r="C1" s="1"/>
    </row>
    <row r="2" customFormat="false" ht="15.7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62</v>
      </c>
    </row>
    <row r="3" customFormat="false" ht="15.75" hidden="false" customHeight="false" outlineLevel="0" collapsed="false">
      <c r="A3" s="0" t="s">
        <v>107</v>
      </c>
      <c r="C3" s="0" t="s">
        <v>108</v>
      </c>
      <c r="D3" s="0" t="n">
        <f aca="false">IF($B3="",0,COUNTIFS(SMIX2BT!$D$2:$D$200,$B3,SMIX2BT!$H$2:$H$200,"P1"))</f>
        <v>0</v>
      </c>
      <c r="E3" s="0" t="n">
        <f aca="false">MAX(0.5,MIN(1.5,1+IF($B3="",0,SUMPRODUCT((SMIX2BT!$D$2:$D$200=$B3)*(SMIX2BT!$H$2:$H$200="P1")*SMIX2BT!$I$2:$I$200*0.01))))</f>
        <v>1</v>
      </c>
      <c r="F3" s="0" t="n">
        <f aca="false">IF($B3="",0,COUNTIFS(SMIX2BT!$D$2:$D$200,$B3,SMIX2BT!$H$2:$H$200,"P2"))</f>
        <v>0</v>
      </c>
      <c r="G3" s="0" t="n">
        <f aca="false">MAX(0.5,MIN(1.5,1+IF($B3="",0,SUMPRODUCT((SMIX2BT!$D$2:$D$200=$B3)*(SMIX2BT!$H$2:$H$200="P2")*SMIX2BT!$I$2:$I$200*0.01))))</f>
        <v>1</v>
      </c>
      <c r="H3" s="0" t="n">
        <f aca="false">IF($B3="",0,COUNTIFS(SMIX2BT!$D$2:$D$200,$B3,SMIX2BT!$H$2:$H$200,"P3"))</f>
        <v>0</v>
      </c>
      <c r="I3" s="0" t="n">
        <f aca="false">MAX(0.5,MIN(1.5,1+IF($B3="",0,SUMPRODUCT((SMIX2BT!$D$2:$D$200=$B3)*(SMIX2BT!$H$2:$H$200="P3")*SMIX2BT!$I$2:$I$200*0.01))))</f>
        <v>1</v>
      </c>
      <c r="J3" s="0" t="n">
        <f aca="false">IF($B3="",0,COUNTIFS(SMIX2BT!$D$2:$D$200,$B3,SMIX2BT!$H$2:$H$200,"P4"))</f>
        <v>0</v>
      </c>
      <c r="K3" s="0" t="n">
        <f aca="false">MAX(0.5,MIN(1.5,1+IF($B3="",0,SUMPRODUCT((SMIX2BT!$D$2:$D$200=$B3)*(SMIX2BT!$H$2:$H$200="P4")*SMIX2BT!$I$2:$I$200*0.01))))</f>
        <v>1</v>
      </c>
      <c r="L3" s="0" t="n">
        <f aca="false">IF($B3="",0,COUNTIFS(SMIX2BT!$D$2:$D$200,$B3,SMIX2BT!$H$2:$H$200,"P5"))</f>
        <v>0</v>
      </c>
      <c r="M3" s="0" t="n">
        <f aca="false">MAX(0.5,MIN(1.5,1+IF($B3="",0,SUMPRODUCT((SMIX2BT!$D$2:$D$200=$B3)*(SMIX2BT!$H$2:$H$200="P5")*SMIX2BT!$I$2:$I$200*0.01))))</f>
        <v>1</v>
      </c>
      <c r="N3" s="0" t="n">
        <f aca="false">IF($B3="",0,IFERROR(SUMPRODUCT((SMIX2BT!$D$2:$D$200=$B3)*SMIX2BT!$I$2:$I$200),0))</f>
        <v>0</v>
      </c>
      <c r="O3" s="0" t="n">
        <f aca="false">D3+F3+H3+J3+L3</f>
        <v>0</v>
      </c>
    </row>
    <row r="4" customFormat="false" ht="15.75" hidden="false" customHeight="false" outlineLevel="0" collapsed="false">
      <c r="A4" s="0" t="s">
        <v>109</v>
      </c>
      <c r="C4" s="0" t="s">
        <v>110</v>
      </c>
      <c r="D4" s="0" t="n">
        <f aca="false">IF($B4="",0,COUNTIFS(SMIX2BT!$D$2:$D$200,$B4,SMIX2BT!$H$2:$H$200,"P1"))</f>
        <v>0</v>
      </c>
      <c r="E4" s="0" t="n">
        <f aca="false">MAX(0.5,MIN(1.5,1+IF($B4="",0,SUMPRODUCT((SMIX2BT!$D$2:$D$200=$B4)*(SMIX2BT!$H$2:$H$200="P1")*SMIX2BT!$I$2:$I$200*0.01))))</f>
        <v>1</v>
      </c>
      <c r="F4" s="0" t="n">
        <f aca="false">IF($B4="",0,COUNTIFS(SMIX2BT!$D$2:$D$200,$B4,SMIX2BT!$H$2:$H$200,"P2"))</f>
        <v>0</v>
      </c>
      <c r="G4" s="0" t="n">
        <f aca="false">MAX(0.5,MIN(1.5,1+IF($B4="",0,SUMPRODUCT((SMIX2BT!$D$2:$D$200=$B4)*(SMIX2BT!$H$2:$H$200="P2")*SMIX2BT!$I$2:$I$200*0.01))))</f>
        <v>1</v>
      </c>
      <c r="H4" s="0" t="n">
        <f aca="false">IF($B4="",0,COUNTIFS(SMIX2BT!$D$2:$D$200,$B4,SMIX2BT!$H$2:$H$200,"P3"))</f>
        <v>0</v>
      </c>
      <c r="I4" s="0" t="n">
        <f aca="false">MAX(0.5,MIN(1.5,1+IF($B4="",0,SUMPRODUCT((SMIX2BT!$D$2:$D$200=$B4)*(SMIX2BT!$H$2:$H$200="P3")*SMIX2BT!$I$2:$I$200*0.01))))</f>
        <v>1</v>
      </c>
      <c r="J4" s="0" t="n">
        <f aca="false">IF($B4="",0,COUNTIFS(SMIX2BT!$D$2:$D$200,$B4,SMIX2BT!$H$2:$H$200,"P4"))</f>
        <v>0</v>
      </c>
      <c r="K4" s="0" t="n">
        <f aca="false">MAX(0.5,MIN(1.5,1+IF($B4="",0,SUMPRODUCT((SMIX2BT!$D$2:$D$200=$B4)*(SMIX2BT!$H$2:$H$200="P4")*SMIX2BT!$I$2:$I$200*0.01))))</f>
        <v>1</v>
      </c>
      <c r="L4" s="0" t="n">
        <f aca="false">IF($B4="",0,COUNTIFS(SMIX2BT!$D$2:$D$200,$B4,SMIX2BT!$H$2:$H$200,"P5"))</f>
        <v>0</v>
      </c>
      <c r="M4" s="0" t="n">
        <f aca="false">MAX(0.5,MIN(1.5,1+IF($B4="",0,SUMPRODUCT((SMIX2BT!$D$2:$D$200=$B4)*(SMIX2BT!$H$2:$H$200="P5")*SMIX2BT!$I$2:$I$200*0.01))))</f>
        <v>1</v>
      </c>
      <c r="N4" s="0" t="n">
        <f aca="false">IF($B4="",0,IFERROR(SUMPRODUCT((SMIX2BT!$D$2:$D$200=$B4)*SMIX2BT!$I$2:$I$200),0))</f>
        <v>0</v>
      </c>
      <c r="O4" s="0" t="n">
        <f aca="false">D4+F4+H4+J4+L4</f>
        <v>0</v>
      </c>
    </row>
    <row r="5" customFormat="false" ht="15.75" hidden="false" customHeight="false" outlineLevel="0" collapsed="false">
      <c r="A5" s="0" t="s">
        <v>111</v>
      </c>
      <c r="C5" s="0" t="s">
        <v>112</v>
      </c>
      <c r="D5" s="0" t="n">
        <f aca="false">IF($B5="",0,COUNTIFS(SMIX2BT!$D$2:$D$200,$B5,SMIX2BT!$H$2:$H$200,"P1"))</f>
        <v>0</v>
      </c>
      <c r="E5" s="0" t="n">
        <f aca="false">MAX(0.5,MIN(1.5,1+IF($B5="",0,SUMPRODUCT((SMIX2BT!$D$2:$D$200=$B5)*(SMIX2BT!$H$2:$H$200="P1")*SMIX2BT!$I$2:$I$200*0.01))))</f>
        <v>1</v>
      </c>
      <c r="F5" s="0" t="n">
        <f aca="false">IF($B5="",0,COUNTIFS(SMIX2BT!$D$2:$D$200,$B5,SMIX2BT!$H$2:$H$200,"P2"))</f>
        <v>0</v>
      </c>
      <c r="G5" s="0" t="n">
        <f aca="false">MAX(0.5,MIN(1.5,1+IF($B5="",0,SUMPRODUCT((SMIX2BT!$D$2:$D$200=$B5)*(SMIX2BT!$H$2:$H$200="P2")*SMIX2BT!$I$2:$I$200*0.01))))</f>
        <v>1</v>
      </c>
      <c r="H5" s="0" t="n">
        <f aca="false">IF($B5="",0,COUNTIFS(SMIX2BT!$D$2:$D$200,$B5,SMIX2BT!$H$2:$H$200,"P3"))</f>
        <v>0</v>
      </c>
      <c r="I5" s="0" t="n">
        <f aca="false">MAX(0.5,MIN(1.5,1+IF($B5="",0,SUMPRODUCT((SMIX2BT!$D$2:$D$200=$B5)*(SMIX2BT!$H$2:$H$200="P3")*SMIX2BT!$I$2:$I$200*0.01))))</f>
        <v>1</v>
      </c>
      <c r="J5" s="0" t="n">
        <f aca="false">IF($B5="",0,COUNTIFS(SMIX2BT!$D$2:$D$200,$B5,SMIX2BT!$H$2:$H$200,"P4"))</f>
        <v>0</v>
      </c>
      <c r="K5" s="0" t="n">
        <f aca="false">MAX(0.5,MIN(1.5,1+IF($B5="",0,SUMPRODUCT((SMIX2BT!$D$2:$D$200=$B5)*(SMIX2BT!$H$2:$H$200="P4")*SMIX2BT!$I$2:$I$200*0.01))))</f>
        <v>1</v>
      </c>
      <c r="L5" s="0" t="n">
        <f aca="false">IF($B5="",0,COUNTIFS(SMIX2BT!$D$2:$D$200,$B5,SMIX2BT!$H$2:$H$200,"P5"))</f>
        <v>0</v>
      </c>
      <c r="M5" s="0" t="n">
        <f aca="false">MAX(0.5,MIN(1.5,1+IF($B5="",0,SUMPRODUCT((SMIX2BT!$D$2:$D$200=$B5)*(SMIX2BT!$H$2:$H$200="P5")*SMIX2BT!$I$2:$I$200*0.01))))</f>
        <v>1</v>
      </c>
      <c r="N5" s="0" t="n">
        <f aca="false">IF($B5="",0,IFERROR(SUMPRODUCT((SMIX2BT!$D$2:$D$200=$B5)*SMIX2BT!$I$2:$I$200),0))</f>
        <v>0</v>
      </c>
      <c r="O5" s="0" t="n">
        <f aca="false">D5+F5+H5+J5+L5</f>
        <v>0</v>
      </c>
    </row>
    <row r="6" customFormat="false" ht="15.75" hidden="false" customHeight="false" outlineLevel="0" collapsed="false">
      <c r="A6" s="0" t="s">
        <v>113</v>
      </c>
      <c r="C6" s="0" t="s">
        <v>114</v>
      </c>
      <c r="D6" s="0" t="n">
        <f aca="false">IF($B6="",0,COUNTIFS(SMIX2BT!$D$2:$D$200,$B6,SMIX2BT!$H$2:$H$200,"P1"))</f>
        <v>0</v>
      </c>
      <c r="E6" s="0" t="n">
        <f aca="false">MAX(0.5,MIN(1.5,1+IF($B6="",0,SUMPRODUCT((SMIX2BT!$D$2:$D$200=$B6)*(SMIX2BT!$H$2:$H$200="P1")*SMIX2BT!$I$2:$I$200*0.01))))</f>
        <v>1</v>
      </c>
      <c r="F6" s="0" t="n">
        <f aca="false">IF($B6="",0,COUNTIFS(SMIX2BT!$D$2:$D$200,$B6,SMIX2BT!$H$2:$H$200,"P2"))</f>
        <v>0</v>
      </c>
      <c r="G6" s="0" t="n">
        <f aca="false">MAX(0.5,MIN(1.5,1+IF($B6="",0,SUMPRODUCT((SMIX2BT!$D$2:$D$200=$B6)*(SMIX2BT!$H$2:$H$200="P2")*SMIX2BT!$I$2:$I$200*0.01))))</f>
        <v>1</v>
      </c>
      <c r="H6" s="0" t="n">
        <f aca="false">IF($B6="",0,COUNTIFS(SMIX2BT!$D$2:$D$200,$B6,SMIX2BT!$H$2:$H$200,"P3"))</f>
        <v>0</v>
      </c>
      <c r="I6" s="0" t="n">
        <f aca="false">MAX(0.5,MIN(1.5,1+IF($B6="",0,SUMPRODUCT((SMIX2BT!$D$2:$D$200=$B6)*(SMIX2BT!$H$2:$H$200="P3")*SMIX2BT!$I$2:$I$200*0.01))))</f>
        <v>1</v>
      </c>
      <c r="J6" s="0" t="n">
        <f aca="false">IF($B6="",0,COUNTIFS(SMIX2BT!$D$2:$D$200,$B6,SMIX2BT!$H$2:$H$200,"P4"))</f>
        <v>0</v>
      </c>
      <c r="K6" s="0" t="n">
        <f aca="false">MAX(0.5,MIN(1.5,1+IF($B6="",0,SUMPRODUCT((SMIX2BT!$D$2:$D$200=$B6)*(SMIX2BT!$H$2:$H$200="P4")*SMIX2BT!$I$2:$I$200*0.01))))</f>
        <v>1</v>
      </c>
      <c r="L6" s="0" t="n">
        <f aca="false">IF($B6="",0,COUNTIFS(SMIX2BT!$D$2:$D$200,$B6,SMIX2BT!$H$2:$H$200,"P5"))</f>
        <v>0</v>
      </c>
      <c r="M6" s="0" t="n">
        <f aca="false">MAX(0.5,MIN(1.5,1+IF($B6="",0,SUMPRODUCT((SMIX2BT!$D$2:$D$200=$B6)*(SMIX2BT!$H$2:$H$200="P5")*SMIX2BT!$I$2:$I$200*0.01))))</f>
        <v>1</v>
      </c>
      <c r="N6" s="0" t="n">
        <f aca="false">IF($B6="",0,IFERROR(SUMPRODUCT((SMIX2BT!$D$2:$D$200=$B6)*SMIX2BT!$I$2:$I$200),0))</f>
        <v>0</v>
      </c>
      <c r="O6" s="0" t="n">
        <f aca="false">D6+F6+H6+J6+L6</f>
        <v>0</v>
      </c>
    </row>
    <row r="7" customFormat="false" ht="15.75" hidden="false" customHeight="false" outlineLevel="0" collapsed="false">
      <c r="A7" s="0" t="s">
        <v>115</v>
      </c>
      <c r="C7" s="0" t="s">
        <v>116</v>
      </c>
      <c r="D7" s="0" t="n">
        <f aca="false">IF($B7="",0,COUNTIFS(SMIX2BT!$D$2:$D$200,$B7,SMIX2BT!$H$2:$H$200,"P1"))</f>
        <v>0</v>
      </c>
      <c r="E7" s="0" t="n">
        <f aca="false">MAX(0.5,MIN(1.5,1+IF($B7="",0,SUMPRODUCT((SMIX2BT!$D$2:$D$200=$B7)*(SMIX2BT!$H$2:$H$200="P1")*SMIX2BT!$I$2:$I$200*0.01))))</f>
        <v>1</v>
      </c>
      <c r="F7" s="0" t="n">
        <f aca="false">IF($B7="",0,COUNTIFS(SMIX2BT!$D$2:$D$200,$B7,SMIX2BT!$H$2:$H$200,"P2"))</f>
        <v>0</v>
      </c>
      <c r="G7" s="0" t="n">
        <f aca="false">MAX(0.5,MIN(1.5,1+IF($B7="",0,SUMPRODUCT((SMIX2BT!$D$2:$D$200=$B7)*(SMIX2BT!$H$2:$H$200="P2")*SMIX2BT!$I$2:$I$200*0.01))))</f>
        <v>1</v>
      </c>
      <c r="H7" s="0" t="n">
        <f aca="false">IF($B7="",0,COUNTIFS(SMIX2BT!$D$2:$D$200,$B7,SMIX2BT!$H$2:$H$200,"P3"))</f>
        <v>0</v>
      </c>
      <c r="I7" s="0" t="n">
        <f aca="false">MAX(0.5,MIN(1.5,1+IF($B7="",0,SUMPRODUCT((SMIX2BT!$D$2:$D$200=$B7)*(SMIX2BT!$H$2:$H$200="P3")*SMIX2BT!$I$2:$I$200*0.01))))</f>
        <v>1</v>
      </c>
      <c r="J7" s="0" t="n">
        <f aca="false">IF($B7="",0,COUNTIFS(SMIX2BT!$D$2:$D$200,$B7,SMIX2BT!$H$2:$H$200,"P4"))</f>
        <v>0</v>
      </c>
      <c r="K7" s="0" t="n">
        <f aca="false">MAX(0.5,MIN(1.5,1+IF($B7="",0,SUMPRODUCT((SMIX2BT!$D$2:$D$200=$B7)*(SMIX2BT!$H$2:$H$200="P4")*SMIX2BT!$I$2:$I$200*0.01))))</f>
        <v>1</v>
      </c>
      <c r="L7" s="0" t="n">
        <f aca="false">IF($B7="",0,COUNTIFS(SMIX2BT!$D$2:$D$200,$B7,SMIX2BT!$H$2:$H$200,"P5"))</f>
        <v>0</v>
      </c>
      <c r="M7" s="0" t="n">
        <f aca="false">MAX(0.5,MIN(1.5,1+IF($B7="",0,SUMPRODUCT((SMIX2BT!$D$2:$D$200=$B7)*(SMIX2BT!$H$2:$H$200="P5")*SMIX2BT!$I$2:$I$200*0.01))))</f>
        <v>1</v>
      </c>
      <c r="N7" s="0" t="n">
        <f aca="false">IF($B7="",0,IFERROR(SUMPRODUCT((SMIX2BT!$D$2:$D$200=$B7)*SMIX2BT!$I$2:$I$200),0))</f>
        <v>0</v>
      </c>
      <c r="O7" s="0" t="n">
        <f aca="false">D7+F7+H7+J7+L7</f>
        <v>0</v>
      </c>
    </row>
    <row r="8" customFormat="false" ht="15.75" hidden="false" customHeight="false" outlineLevel="0" collapsed="false">
      <c r="A8" s="0" t="s">
        <v>117</v>
      </c>
      <c r="C8" s="0" t="s">
        <v>118</v>
      </c>
      <c r="D8" s="0" t="n">
        <f aca="false">IF($B8="",0,COUNTIFS(SMIX2BT!$D$2:$D$200,$B8,SMIX2BT!$H$2:$H$200,"P1"))</f>
        <v>0</v>
      </c>
      <c r="E8" s="0" t="n">
        <f aca="false">MAX(0.5,MIN(1.5,1+IF($B8="",0,SUMPRODUCT((SMIX2BT!$D$2:$D$200=$B8)*(SMIX2BT!$H$2:$H$200="P1")*SMIX2BT!$I$2:$I$200*0.01))))</f>
        <v>1</v>
      </c>
      <c r="F8" s="0" t="n">
        <f aca="false">IF($B8="",0,COUNTIFS(SMIX2BT!$D$2:$D$200,$B8,SMIX2BT!$H$2:$H$200,"P2"))</f>
        <v>0</v>
      </c>
      <c r="G8" s="0" t="n">
        <f aca="false">MAX(0.5,MIN(1.5,1+IF($B8="",0,SUMPRODUCT((SMIX2BT!$D$2:$D$200=$B8)*(SMIX2BT!$H$2:$H$200="P2")*SMIX2BT!$I$2:$I$200*0.01))))</f>
        <v>1</v>
      </c>
      <c r="H8" s="0" t="n">
        <f aca="false">IF($B8="",0,COUNTIFS(SMIX2BT!$D$2:$D$200,$B8,SMIX2BT!$H$2:$H$200,"P3"))</f>
        <v>0</v>
      </c>
      <c r="I8" s="0" t="n">
        <f aca="false">MAX(0.5,MIN(1.5,1+IF($B8="",0,SUMPRODUCT((SMIX2BT!$D$2:$D$200=$B8)*(SMIX2BT!$H$2:$H$200="P3")*SMIX2BT!$I$2:$I$200*0.01))))</f>
        <v>1</v>
      </c>
      <c r="J8" s="0" t="n">
        <f aca="false">IF($B8="",0,COUNTIFS(SMIX2BT!$D$2:$D$200,$B8,SMIX2BT!$H$2:$H$200,"P4"))</f>
        <v>0</v>
      </c>
      <c r="K8" s="0" t="n">
        <f aca="false">MAX(0.5,MIN(1.5,1+IF($B8="",0,SUMPRODUCT((SMIX2BT!$D$2:$D$200=$B8)*(SMIX2BT!$H$2:$H$200="P4")*SMIX2BT!$I$2:$I$200*0.01))))</f>
        <v>1</v>
      </c>
      <c r="L8" s="0" t="n">
        <f aca="false">IF($B8="",0,COUNTIFS(SMIX2BT!$D$2:$D$200,$B8,SMIX2BT!$H$2:$H$200,"P5"))</f>
        <v>0</v>
      </c>
      <c r="M8" s="0" t="n">
        <f aca="false">MAX(0.5,MIN(1.5,1+IF($B8="",0,SUMPRODUCT((SMIX2BT!$D$2:$D$200=$B8)*(SMIX2BT!$H$2:$H$200="P5")*SMIX2BT!$I$2:$I$200*0.01))))</f>
        <v>1</v>
      </c>
      <c r="N8" s="0" t="n">
        <f aca="false">IF($B8="",0,IFERROR(SUMPRODUCT((SMIX2BT!$D$2:$D$200=$B8)*SMIX2BT!$I$2:$I$200),0))</f>
        <v>0</v>
      </c>
      <c r="O8" s="0" t="n">
        <f aca="false">D8+F8+H8+J8+L8</f>
        <v>0</v>
      </c>
    </row>
    <row r="9" customFormat="false" ht="15.75" hidden="false" customHeight="false" outlineLevel="0" collapsed="false">
      <c r="A9" s="0" t="s">
        <v>119</v>
      </c>
      <c r="C9" s="0" t="s">
        <v>120</v>
      </c>
      <c r="D9" s="0" t="n">
        <f aca="false">IF($B9="",0,COUNTIFS(SMIX2BT!$D$2:$D$200,$B9,SMIX2BT!$H$2:$H$200,"P1"))</f>
        <v>0</v>
      </c>
      <c r="E9" s="0" t="n">
        <f aca="false">MAX(0.5,MIN(1.5,1+IF($B9="",0,SUMPRODUCT((SMIX2BT!$D$2:$D$200=$B9)*(SMIX2BT!$H$2:$H$200="P1")*SMIX2BT!$I$2:$I$200*0.01))))</f>
        <v>1</v>
      </c>
      <c r="F9" s="0" t="n">
        <f aca="false">IF($B9="",0,COUNTIFS(SMIX2BT!$D$2:$D$200,$B9,SMIX2BT!$H$2:$H$200,"P2"))</f>
        <v>0</v>
      </c>
      <c r="G9" s="0" t="n">
        <f aca="false">MAX(0.5,MIN(1.5,1+IF($B9="",0,SUMPRODUCT((SMIX2BT!$D$2:$D$200=$B9)*(SMIX2BT!$H$2:$H$200="P2")*SMIX2BT!$I$2:$I$200*0.01))))</f>
        <v>1</v>
      </c>
      <c r="H9" s="0" t="n">
        <f aca="false">IF($B9="",0,COUNTIFS(SMIX2BT!$D$2:$D$200,$B9,SMIX2BT!$H$2:$H$200,"P3"))</f>
        <v>0</v>
      </c>
      <c r="I9" s="0" t="n">
        <f aca="false">MAX(0.5,MIN(1.5,1+IF($B9="",0,SUMPRODUCT((SMIX2BT!$D$2:$D$200=$B9)*(SMIX2BT!$H$2:$H$200="P3")*SMIX2BT!$I$2:$I$200*0.01))))</f>
        <v>1</v>
      </c>
      <c r="J9" s="0" t="n">
        <f aca="false">IF($B9="",0,COUNTIFS(SMIX2BT!$D$2:$D$200,$B9,SMIX2BT!$H$2:$H$200,"P4"))</f>
        <v>0</v>
      </c>
      <c r="K9" s="0" t="n">
        <f aca="false">MAX(0.5,MIN(1.5,1+IF($B9="",0,SUMPRODUCT((SMIX2BT!$D$2:$D$200=$B9)*(SMIX2BT!$H$2:$H$200="P4")*SMIX2BT!$I$2:$I$200*0.01))))</f>
        <v>1</v>
      </c>
      <c r="L9" s="0" t="n">
        <f aca="false">IF($B9="",0,COUNTIFS(SMIX2BT!$D$2:$D$200,$B9,SMIX2BT!$H$2:$H$200,"P5"))</f>
        <v>0</v>
      </c>
      <c r="M9" s="0" t="n">
        <f aca="false">MAX(0.5,MIN(1.5,1+IF($B9="",0,SUMPRODUCT((SMIX2BT!$D$2:$D$200=$B9)*(SMIX2BT!$H$2:$H$200="P5")*SMIX2BT!$I$2:$I$200*0.01))))</f>
        <v>1</v>
      </c>
      <c r="N9" s="0" t="n">
        <f aca="false">IF($B9="",0,IFERROR(SUMPRODUCT((SMIX2BT!$D$2:$D$200=$B9)*SMIX2BT!$I$2:$I$200),0))</f>
        <v>0</v>
      </c>
      <c r="O9" s="0" t="n">
        <f aca="false">D9+F9+H9+J9+L9</f>
        <v>0</v>
      </c>
    </row>
    <row r="10" customFormat="false" ht="15.75" hidden="false" customHeight="false" outlineLevel="0" collapsed="false">
      <c r="A10" s="0" t="s">
        <v>121</v>
      </c>
      <c r="C10" s="0" t="s">
        <v>122</v>
      </c>
      <c r="D10" s="0" t="n">
        <f aca="false">IF($B10="",0,COUNTIFS(SMIX2BT!$D$2:$D$200,$B10,SMIX2BT!$H$2:$H$200,"P1"))</f>
        <v>0</v>
      </c>
      <c r="E10" s="0" t="n">
        <f aca="false">MAX(0.5,MIN(1.5,1+IF($B10="",0,SUMPRODUCT((SMIX2BT!$D$2:$D$200=$B10)*(SMIX2BT!$H$2:$H$200="P1")*SMIX2BT!$I$2:$I$200*0.01))))</f>
        <v>1</v>
      </c>
      <c r="F10" s="0" t="n">
        <f aca="false">IF($B10="",0,COUNTIFS(SMIX2BT!$D$2:$D$200,$B10,SMIX2BT!$H$2:$H$200,"P2"))</f>
        <v>0</v>
      </c>
      <c r="G10" s="0" t="n">
        <f aca="false">MAX(0.5,MIN(1.5,1+IF($B10="",0,SUMPRODUCT((SMIX2BT!$D$2:$D$200=$B10)*(SMIX2BT!$H$2:$H$200="P2")*SMIX2BT!$I$2:$I$200*0.01))))</f>
        <v>1</v>
      </c>
      <c r="H10" s="0" t="n">
        <f aca="false">IF($B10="",0,COUNTIFS(SMIX2BT!$D$2:$D$200,$B10,SMIX2BT!$H$2:$H$200,"P3"))</f>
        <v>0</v>
      </c>
      <c r="I10" s="0" t="n">
        <f aca="false">MAX(0.5,MIN(1.5,1+IF($B10="",0,SUMPRODUCT((SMIX2BT!$D$2:$D$200=$B10)*(SMIX2BT!$H$2:$H$200="P3")*SMIX2BT!$I$2:$I$200*0.01))))</f>
        <v>1</v>
      </c>
      <c r="J10" s="0" t="n">
        <f aca="false">IF($B10="",0,COUNTIFS(SMIX2BT!$D$2:$D$200,$B10,SMIX2BT!$H$2:$H$200,"P4"))</f>
        <v>0</v>
      </c>
      <c r="K10" s="0" t="n">
        <f aca="false">MAX(0.5,MIN(1.5,1+IF($B10="",0,SUMPRODUCT((SMIX2BT!$D$2:$D$200=$B10)*(SMIX2BT!$H$2:$H$200="P4")*SMIX2BT!$I$2:$I$200*0.01))))</f>
        <v>1</v>
      </c>
      <c r="L10" s="0" t="n">
        <f aca="false">IF($B10="",0,COUNTIFS(SMIX2BT!$D$2:$D$200,$B10,SMIX2BT!$H$2:$H$200,"P5"))</f>
        <v>0</v>
      </c>
      <c r="M10" s="0" t="n">
        <f aca="false">MAX(0.5,MIN(1.5,1+IF($B10="",0,SUMPRODUCT((SMIX2BT!$D$2:$D$200=$B10)*(SMIX2BT!$H$2:$H$200="P5")*SMIX2BT!$I$2:$I$200*0.01))))</f>
        <v>1</v>
      </c>
      <c r="N10" s="0" t="n">
        <f aca="false">IF($B10="",0,IFERROR(SUMPRODUCT((SMIX2BT!$D$2:$D$200=$B10)*SMIX2BT!$I$2:$I$200),0))</f>
        <v>0</v>
      </c>
      <c r="O10" s="0" t="n">
        <f aca="false">D10+F10+H10+J10+L10</f>
        <v>0</v>
      </c>
    </row>
    <row r="11" customFormat="false" ht="15.75" hidden="false" customHeight="false" outlineLevel="0" collapsed="false">
      <c r="A11" s="0" t="s">
        <v>123</v>
      </c>
      <c r="C11" s="0" t="s">
        <v>124</v>
      </c>
      <c r="D11" s="0" t="n">
        <f aca="false">IF($B11="",0,COUNTIFS(SMIX2BT!$D$2:$D$200,$B11,SMIX2BT!$H$2:$H$200,"P1"))</f>
        <v>0</v>
      </c>
      <c r="E11" s="0" t="n">
        <f aca="false">MAX(0.5,MIN(1.5,1+IF($B11="",0,SUMPRODUCT((SMIX2BT!$D$2:$D$200=$B11)*(SMIX2BT!$H$2:$H$200="P1")*SMIX2BT!$I$2:$I$200*0.01))))</f>
        <v>1</v>
      </c>
      <c r="F11" s="0" t="n">
        <f aca="false">IF($B11="",0,COUNTIFS(SMIX2BT!$D$2:$D$200,$B11,SMIX2BT!$H$2:$H$200,"P2"))</f>
        <v>0</v>
      </c>
      <c r="G11" s="0" t="n">
        <f aca="false">MAX(0.5,MIN(1.5,1+IF($B11="",0,SUMPRODUCT((SMIX2BT!$D$2:$D$200=$B11)*(SMIX2BT!$H$2:$H$200="P2")*SMIX2BT!$I$2:$I$200*0.01))))</f>
        <v>1</v>
      </c>
      <c r="H11" s="0" t="n">
        <f aca="false">IF($B11="",0,COUNTIFS(SMIX2BT!$D$2:$D$200,$B11,SMIX2BT!$H$2:$H$200,"P3"))</f>
        <v>0</v>
      </c>
      <c r="I11" s="0" t="n">
        <f aca="false">MAX(0.5,MIN(1.5,1+IF($B11="",0,SUMPRODUCT((SMIX2BT!$D$2:$D$200=$B11)*(SMIX2BT!$H$2:$H$200="P3")*SMIX2BT!$I$2:$I$200*0.01))))</f>
        <v>1</v>
      </c>
      <c r="J11" s="0" t="n">
        <f aca="false">IF($B11="",0,COUNTIFS(SMIX2BT!$D$2:$D$200,$B11,SMIX2BT!$H$2:$H$200,"P4"))</f>
        <v>0</v>
      </c>
      <c r="K11" s="0" t="n">
        <f aca="false">MAX(0.5,MIN(1.5,1+IF($B11="",0,SUMPRODUCT((SMIX2BT!$D$2:$D$200=$B11)*(SMIX2BT!$H$2:$H$200="P4")*SMIX2BT!$I$2:$I$200*0.01))))</f>
        <v>1</v>
      </c>
      <c r="L11" s="0" t="n">
        <f aca="false">IF($B11="",0,COUNTIFS(SMIX2BT!$D$2:$D$200,$B11,SMIX2BT!$H$2:$H$200,"P5"))</f>
        <v>0</v>
      </c>
      <c r="M11" s="0" t="n">
        <f aca="false">MAX(0.5,MIN(1.5,1+IF($B11="",0,SUMPRODUCT((SMIX2BT!$D$2:$D$200=$B11)*(SMIX2BT!$H$2:$H$200="P5")*SMIX2BT!$I$2:$I$200*0.01))))</f>
        <v>1</v>
      </c>
      <c r="N11" s="0" t="n">
        <f aca="false">IF($B11="",0,IFERROR(SUMPRODUCT((SMIX2BT!$D$2:$D$200=$B11)*SMIX2BT!$I$2:$I$200),0))</f>
        <v>0</v>
      </c>
      <c r="O11" s="0" t="n">
        <f aca="false">D11+F11+H11+J11+L11</f>
        <v>0</v>
      </c>
    </row>
    <row r="12" customFormat="false" ht="15.75" hidden="false" customHeight="false" outlineLevel="0" collapsed="false">
      <c r="A12" s="0" t="s">
        <v>125</v>
      </c>
      <c r="C12" s="0" t="s">
        <v>126</v>
      </c>
      <c r="D12" s="0" t="n">
        <f aca="false">IF($B12="",0,COUNTIFS(SMIX2BT!$D$2:$D$200,$B12,SMIX2BT!$H$2:$H$200,"P1"))</f>
        <v>0</v>
      </c>
      <c r="E12" s="0" t="n">
        <f aca="false">MAX(0.5,MIN(1.5,1+IF($B12="",0,SUMPRODUCT((SMIX2BT!$D$2:$D$200=$B12)*(SMIX2BT!$H$2:$H$200="P1")*SMIX2BT!$I$2:$I$200*0.01))))</f>
        <v>1</v>
      </c>
      <c r="F12" s="0" t="n">
        <f aca="false">IF($B12="",0,COUNTIFS(SMIX2BT!$D$2:$D$200,$B12,SMIX2BT!$H$2:$H$200,"P2"))</f>
        <v>0</v>
      </c>
      <c r="G12" s="0" t="n">
        <f aca="false">MAX(0.5,MIN(1.5,1+IF($B12="",0,SUMPRODUCT((SMIX2BT!$D$2:$D$200=$B12)*(SMIX2BT!$H$2:$H$200="P2")*SMIX2BT!$I$2:$I$200*0.01))))</f>
        <v>1</v>
      </c>
      <c r="H12" s="0" t="n">
        <f aca="false">IF($B12="",0,COUNTIFS(SMIX2BT!$D$2:$D$200,$B12,SMIX2BT!$H$2:$H$200,"P3"))</f>
        <v>0</v>
      </c>
      <c r="I12" s="0" t="n">
        <f aca="false">MAX(0.5,MIN(1.5,1+IF($B12="",0,SUMPRODUCT((SMIX2BT!$D$2:$D$200=$B12)*(SMIX2BT!$H$2:$H$200="P3")*SMIX2BT!$I$2:$I$200*0.01))))</f>
        <v>1</v>
      </c>
      <c r="J12" s="0" t="n">
        <f aca="false">IF($B12="",0,COUNTIFS(SMIX2BT!$D$2:$D$200,$B12,SMIX2BT!$H$2:$H$200,"P4"))</f>
        <v>0</v>
      </c>
      <c r="K12" s="0" t="n">
        <f aca="false">MAX(0.5,MIN(1.5,1+IF($B12="",0,SUMPRODUCT((SMIX2BT!$D$2:$D$200=$B12)*(SMIX2BT!$H$2:$H$200="P4")*SMIX2BT!$I$2:$I$200*0.01))))</f>
        <v>1</v>
      </c>
      <c r="L12" s="0" t="n">
        <f aca="false">IF($B12="",0,COUNTIFS(SMIX2BT!$D$2:$D$200,$B12,SMIX2BT!$H$2:$H$200,"P5"))</f>
        <v>0</v>
      </c>
      <c r="M12" s="0" t="n">
        <f aca="false">MAX(0.5,MIN(1.5,1+IF($B12="",0,SUMPRODUCT((SMIX2BT!$D$2:$D$200=$B12)*(SMIX2BT!$H$2:$H$200="P5")*SMIX2BT!$I$2:$I$200*0.01))))</f>
        <v>1</v>
      </c>
      <c r="N12" s="0" t="n">
        <f aca="false">IF($B12="",0,IFERROR(SUMPRODUCT((SMIX2BT!$D$2:$D$200=$B12)*SMIX2BT!$I$2:$I$200),0))</f>
        <v>0</v>
      </c>
      <c r="O12" s="0" t="n">
        <f aca="false">D12+F12+H12+J12+L12</f>
        <v>0</v>
      </c>
    </row>
    <row r="13" customFormat="false" ht="15.75" hidden="false" customHeight="false" outlineLevel="0" collapsed="false">
      <c r="A13" s="0" t="s">
        <v>127</v>
      </c>
      <c r="C13" s="0" t="s">
        <v>128</v>
      </c>
      <c r="D13" s="0" t="n">
        <f aca="false">IF($B13="",0,COUNTIFS(SMIX2BT!$D$2:$D$200,$B13,SMIX2BT!$H$2:$H$200,"P1"))</f>
        <v>0</v>
      </c>
      <c r="E13" s="0" t="n">
        <f aca="false">MAX(0.5,MIN(1.5,1+IF($B13="",0,SUMPRODUCT((SMIX2BT!$D$2:$D$200=$B13)*(SMIX2BT!$H$2:$H$200="P1")*SMIX2BT!$I$2:$I$200*0.01))))</f>
        <v>1</v>
      </c>
      <c r="F13" s="0" t="n">
        <f aca="false">IF($B13="",0,COUNTIFS(SMIX2BT!$D$2:$D$200,$B13,SMIX2BT!$H$2:$H$200,"P2"))</f>
        <v>0</v>
      </c>
      <c r="G13" s="0" t="n">
        <f aca="false">MAX(0.5,MIN(1.5,1+IF($B13="",0,SUMPRODUCT((SMIX2BT!$D$2:$D$200=$B13)*(SMIX2BT!$H$2:$H$200="P2")*SMIX2BT!$I$2:$I$200*0.01))))</f>
        <v>1</v>
      </c>
      <c r="H13" s="0" t="n">
        <f aca="false">IF($B13="",0,COUNTIFS(SMIX2BT!$D$2:$D$200,$B13,SMIX2BT!$H$2:$H$200,"P3"))</f>
        <v>0</v>
      </c>
      <c r="I13" s="0" t="n">
        <f aca="false">MAX(0.5,MIN(1.5,1+IF($B13="",0,SUMPRODUCT((SMIX2BT!$D$2:$D$200=$B13)*(SMIX2BT!$H$2:$H$200="P3")*SMIX2BT!$I$2:$I$200*0.01))))</f>
        <v>1</v>
      </c>
      <c r="J13" s="0" t="n">
        <f aca="false">IF($B13="",0,COUNTIFS(SMIX2BT!$D$2:$D$200,$B13,SMIX2BT!$H$2:$H$200,"P4"))</f>
        <v>0</v>
      </c>
      <c r="K13" s="0" t="n">
        <f aca="false">MAX(0.5,MIN(1.5,1+IF($B13="",0,SUMPRODUCT((SMIX2BT!$D$2:$D$200=$B13)*(SMIX2BT!$H$2:$H$200="P4")*SMIX2BT!$I$2:$I$200*0.01))))</f>
        <v>1</v>
      </c>
      <c r="L13" s="0" t="n">
        <f aca="false">IF($B13="",0,COUNTIFS(SMIX2BT!$D$2:$D$200,$B13,SMIX2BT!$H$2:$H$200,"P5"))</f>
        <v>0</v>
      </c>
      <c r="M13" s="0" t="n">
        <f aca="false">MAX(0.5,MIN(1.5,1+IF($B13="",0,SUMPRODUCT((SMIX2BT!$D$2:$D$200=$B13)*(SMIX2BT!$H$2:$H$200="P5")*SMIX2BT!$I$2:$I$200*0.01))))</f>
        <v>1</v>
      </c>
      <c r="N13" s="0" t="n">
        <f aca="false">IF($B13="",0,IFERROR(SUMPRODUCT((SMIX2BT!$D$2:$D$200=$B13)*SMIX2BT!$I$2:$I$200),0))</f>
        <v>0</v>
      </c>
      <c r="O13" s="0" t="n">
        <f aca="false">D13+F13+H13+J13+L13</f>
        <v>0</v>
      </c>
    </row>
    <row r="14" customFormat="false" ht="15.75" hidden="false" customHeight="false" outlineLevel="0" collapsed="false">
      <c r="A14" s="0" t="s">
        <v>129</v>
      </c>
      <c r="C14" s="0" t="s">
        <v>130</v>
      </c>
      <c r="D14" s="0" t="n">
        <f aca="false">IF($B14="",0,COUNTIFS(SMIX2BT!$D$2:$D$200,$B14,SMIX2BT!$H$2:$H$200,"P1"))</f>
        <v>0</v>
      </c>
      <c r="E14" s="0" t="n">
        <f aca="false">MAX(0.5,MIN(1.5,1+IF($B14="",0,SUMPRODUCT((SMIX2BT!$D$2:$D$200=$B14)*(SMIX2BT!$H$2:$H$200="P1")*SMIX2BT!$I$2:$I$200*0.01))))</f>
        <v>1</v>
      </c>
      <c r="F14" s="0" t="n">
        <f aca="false">IF($B14="",0,COUNTIFS(SMIX2BT!$D$2:$D$200,$B14,SMIX2BT!$H$2:$H$200,"P2"))</f>
        <v>0</v>
      </c>
      <c r="G14" s="0" t="n">
        <f aca="false">MAX(0.5,MIN(1.5,1+IF($B14="",0,SUMPRODUCT((SMIX2BT!$D$2:$D$200=$B14)*(SMIX2BT!$H$2:$H$200="P2")*SMIX2BT!$I$2:$I$200*0.01))))</f>
        <v>1</v>
      </c>
      <c r="H14" s="0" t="n">
        <f aca="false">IF($B14="",0,COUNTIFS(SMIX2BT!$D$2:$D$200,$B14,SMIX2BT!$H$2:$H$200,"P3"))</f>
        <v>0</v>
      </c>
      <c r="I14" s="0" t="n">
        <f aca="false">MAX(0.5,MIN(1.5,1+IF($B14="",0,SUMPRODUCT((SMIX2BT!$D$2:$D$200=$B14)*(SMIX2BT!$H$2:$H$200="P3")*SMIX2BT!$I$2:$I$200*0.01))))</f>
        <v>1</v>
      </c>
      <c r="J14" s="0" t="n">
        <f aca="false">IF($B14="",0,COUNTIFS(SMIX2BT!$D$2:$D$200,$B14,SMIX2BT!$H$2:$H$200,"P4"))</f>
        <v>0</v>
      </c>
      <c r="K14" s="0" t="n">
        <f aca="false">MAX(0.5,MIN(1.5,1+IF($B14="",0,SUMPRODUCT((SMIX2BT!$D$2:$D$200=$B14)*(SMIX2BT!$H$2:$H$200="P4")*SMIX2BT!$I$2:$I$200*0.01))))</f>
        <v>1</v>
      </c>
      <c r="L14" s="0" t="n">
        <f aca="false">IF($B14="",0,COUNTIFS(SMIX2BT!$D$2:$D$200,$B14,SMIX2BT!$H$2:$H$200,"P5"))</f>
        <v>0</v>
      </c>
      <c r="M14" s="0" t="n">
        <f aca="false">MAX(0.5,MIN(1.5,1+IF($B14="",0,SUMPRODUCT((SMIX2BT!$D$2:$D$200=$B14)*(SMIX2BT!$H$2:$H$200="P5")*SMIX2BT!$I$2:$I$200*0.01))))</f>
        <v>1</v>
      </c>
      <c r="N14" s="0" t="n">
        <f aca="false">IF($B14="",0,IFERROR(SUMPRODUCT((SMIX2BT!$D$2:$D$200=$B14)*SMIX2BT!$I$2:$I$200),0))</f>
        <v>0</v>
      </c>
      <c r="O14" s="0" t="n">
        <f aca="false">D14+F14+H14+J14+L14</f>
        <v>0</v>
      </c>
    </row>
    <row r="15" customFormat="false" ht="15.75" hidden="false" customHeight="false" outlineLevel="0" collapsed="false">
      <c r="A15" s="0" t="s">
        <v>131</v>
      </c>
      <c r="C15" s="0" t="s">
        <v>132</v>
      </c>
      <c r="D15" s="0" t="n">
        <f aca="false">IF($B15="",0,COUNTIFS(SMIX2BT!$D$2:$D$200,$B15,SMIX2BT!$H$2:$H$200,"P1"))</f>
        <v>0</v>
      </c>
      <c r="E15" s="0" t="n">
        <f aca="false">MAX(0.5,MIN(1.5,1+IF($B15="",0,SUMPRODUCT((SMIX2BT!$D$2:$D$200=$B15)*(SMIX2BT!$H$2:$H$200="P1")*SMIX2BT!$I$2:$I$200*0.01))))</f>
        <v>1</v>
      </c>
      <c r="F15" s="0" t="n">
        <f aca="false">IF($B15="",0,COUNTIFS(SMIX2BT!$D$2:$D$200,$B15,SMIX2BT!$H$2:$H$200,"P2"))</f>
        <v>0</v>
      </c>
      <c r="G15" s="0" t="n">
        <f aca="false">MAX(0.5,MIN(1.5,1+IF($B15="",0,SUMPRODUCT((SMIX2BT!$D$2:$D$200=$B15)*(SMIX2BT!$H$2:$H$200="P2")*SMIX2BT!$I$2:$I$200*0.01))))</f>
        <v>1</v>
      </c>
      <c r="H15" s="0" t="n">
        <f aca="false">IF($B15="",0,COUNTIFS(SMIX2BT!$D$2:$D$200,$B15,SMIX2BT!$H$2:$H$200,"P3"))</f>
        <v>0</v>
      </c>
      <c r="I15" s="0" t="n">
        <f aca="false">MAX(0.5,MIN(1.5,1+IF($B15="",0,SUMPRODUCT((SMIX2BT!$D$2:$D$200=$B15)*(SMIX2BT!$H$2:$H$200="P3")*SMIX2BT!$I$2:$I$200*0.01))))</f>
        <v>1</v>
      </c>
      <c r="J15" s="0" t="n">
        <f aca="false">IF($B15="",0,COUNTIFS(SMIX2BT!$D$2:$D$200,$B15,SMIX2BT!$H$2:$H$200,"P4"))</f>
        <v>0</v>
      </c>
      <c r="K15" s="0" t="n">
        <f aca="false">MAX(0.5,MIN(1.5,1+IF($B15="",0,SUMPRODUCT((SMIX2BT!$D$2:$D$200=$B15)*(SMIX2BT!$H$2:$H$200="P4")*SMIX2BT!$I$2:$I$200*0.01))))</f>
        <v>1</v>
      </c>
      <c r="L15" s="0" t="n">
        <f aca="false">IF($B15="",0,COUNTIFS(SMIX2BT!$D$2:$D$200,$B15,SMIX2BT!$H$2:$H$200,"P5"))</f>
        <v>0</v>
      </c>
      <c r="M15" s="0" t="n">
        <f aca="false">MAX(0.5,MIN(1.5,1+IF($B15="",0,SUMPRODUCT((SMIX2BT!$D$2:$D$200=$B15)*(SMIX2BT!$H$2:$H$200="P5")*SMIX2BT!$I$2:$I$200*0.01))))</f>
        <v>1</v>
      </c>
      <c r="N15" s="0" t="n">
        <f aca="false">IF($B15="",0,IFERROR(SUMPRODUCT((SMIX2BT!$D$2:$D$200=$B15)*SMIX2BT!$I$2:$I$200),0))</f>
        <v>0</v>
      </c>
      <c r="O15" s="0" t="n">
        <f aca="false">D15+F15+H15+J15+L15</f>
        <v>0</v>
      </c>
    </row>
    <row r="16" customFormat="false" ht="15.75" hidden="false" customHeight="false" outlineLevel="0" collapsed="false">
      <c r="A16" s="0" t="s">
        <v>133</v>
      </c>
      <c r="C16" s="0" t="s">
        <v>134</v>
      </c>
      <c r="D16" s="0" t="n">
        <f aca="false">IF($B16="",0,COUNTIFS(SMIX2BT!$D$2:$D$200,$B16,SMIX2BT!$H$2:$H$200,"P1"))</f>
        <v>0</v>
      </c>
      <c r="E16" s="0" t="n">
        <f aca="false">MAX(0.5,MIN(1.5,1+IF($B16="",0,SUMPRODUCT((SMIX2BT!$D$2:$D$200=$B16)*(SMIX2BT!$H$2:$H$200="P1")*SMIX2BT!$I$2:$I$200*0.01))))</f>
        <v>1</v>
      </c>
      <c r="F16" s="0" t="n">
        <f aca="false">IF($B16="",0,COUNTIFS(SMIX2BT!$D$2:$D$200,$B16,SMIX2BT!$H$2:$H$200,"P2"))</f>
        <v>0</v>
      </c>
      <c r="G16" s="0" t="n">
        <f aca="false">MAX(0.5,MIN(1.5,1+IF($B16="",0,SUMPRODUCT((SMIX2BT!$D$2:$D$200=$B16)*(SMIX2BT!$H$2:$H$200="P2")*SMIX2BT!$I$2:$I$200*0.01))))</f>
        <v>1</v>
      </c>
      <c r="H16" s="0" t="n">
        <f aca="false">IF($B16="",0,COUNTIFS(SMIX2BT!$D$2:$D$200,$B16,SMIX2BT!$H$2:$H$200,"P3"))</f>
        <v>0</v>
      </c>
      <c r="I16" s="0" t="n">
        <f aca="false">MAX(0.5,MIN(1.5,1+IF($B16="",0,SUMPRODUCT((SMIX2BT!$D$2:$D$200=$B16)*(SMIX2BT!$H$2:$H$200="P3")*SMIX2BT!$I$2:$I$200*0.01))))</f>
        <v>1</v>
      </c>
      <c r="J16" s="0" t="n">
        <f aca="false">IF($B16="",0,COUNTIFS(SMIX2BT!$D$2:$D$200,$B16,SMIX2BT!$H$2:$H$200,"P4"))</f>
        <v>0</v>
      </c>
      <c r="K16" s="0" t="n">
        <f aca="false">MAX(0.5,MIN(1.5,1+IF($B16="",0,SUMPRODUCT((SMIX2BT!$D$2:$D$200=$B16)*(SMIX2BT!$H$2:$H$200="P4")*SMIX2BT!$I$2:$I$200*0.01))))</f>
        <v>1</v>
      </c>
      <c r="L16" s="0" t="n">
        <f aca="false">IF($B16="",0,COUNTIFS(SMIX2BT!$D$2:$D$200,$B16,SMIX2BT!$H$2:$H$200,"P5"))</f>
        <v>0</v>
      </c>
      <c r="M16" s="0" t="n">
        <f aca="false">MAX(0.5,MIN(1.5,1+IF($B16="",0,SUMPRODUCT((SMIX2BT!$D$2:$D$200=$B16)*(SMIX2BT!$H$2:$H$200="P5")*SMIX2BT!$I$2:$I$200*0.01))))</f>
        <v>1</v>
      </c>
      <c r="N16" s="0" t="n">
        <f aca="false">IF($B16="",0,IFERROR(SUMPRODUCT((SMIX2BT!$D$2:$D$200=$B16)*SMIX2BT!$I$2:$I$200),0))</f>
        <v>0</v>
      </c>
      <c r="O16" s="0" t="n">
        <f aca="false">D16+F16+H16+J16+L16</f>
        <v>0</v>
      </c>
    </row>
    <row r="17" customFormat="false" ht="15.75" hidden="false" customHeight="false" outlineLevel="0" collapsed="false">
      <c r="A17" s="0" t="s">
        <v>135</v>
      </c>
      <c r="C17" s="0" t="s">
        <v>136</v>
      </c>
      <c r="D17" s="0" t="n">
        <f aca="false">IF($B17="",0,COUNTIFS(SMIX2BT!$D$2:$D$200,$B17,SMIX2BT!$H$2:$H$200,"P1"))</f>
        <v>0</v>
      </c>
      <c r="E17" s="0" t="n">
        <f aca="false">MAX(0.5,MIN(1.5,1+IF($B17="",0,SUMPRODUCT((SMIX2BT!$D$2:$D$200=$B17)*(SMIX2BT!$H$2:$H$200="P1")*SMIX2BT!$I$2:$I$200*0.01))))</f>
        <v>1</v>
      </c>
      <c r="F17" s="0" t="n">
        <f aca="false">IF($B17="",0,COUNTIFS(SMIX2BT!$D$2:$D$200,$B17,SMIX2BT!$H$2:$H$200,"P2"))</f>
        <v>0</v>
      </c>
      <c r="G17" s="0" t="n">
        <f aca="false">MAX(0.5,MIN(1.5,1+IF($B17="",0,SUMPRODUCT((SMIX2BT!$D$2:$D$200=$B17)*(SMIX2BT!$H$2:$H$200="P2")*SMIX2BT!$I$2:$I$200*0.01))))</f>
        <v>1</v>
      </c>
      <c r="H17" s="0" t="n">
        <f aca="false">IF($B17="",0,COUNTIFS(SMIX2BT!$D$2:$D$200,$B17,SMIX2BT!$H$2:$H$200,"P3"))</f>
        <v>0</v>
      </c>
      <c r="I17" s="0" t="n">
        <f aca="false">MAX(0.5,MIN(1.5,1+IF($B17="",0,SUMPRODUCT((SMIX2BT!$D$2:$D$200=$B17)*(SMIX2BT!$H$2:$H$200="P3")*SMIX2BT!$I$2:$I$200*0.01))))</f>
        <v>1</v>
      </c>
      <c r="J17" s="0" t="n">
        <f aca="false">IF($B17="",0,COUNTIFS(SMIX2BT!$D$2:$D$200,$B17,SMIX2BT!$H$2:$H$200,"P4"))</f>
        <v>0</v>
      </c>
      <c r="K17" s="0" t="n">
        <f aca="false">MAX(0.5,MIN(1.5,1+IF($B17="",0,SUMPRODUCT((SMIX2BT!$D$2:$D$200=$B17)*(SMIX2BT!$H$2:$H$200="P4")*SMIX2BT!$I$2:$I$200*0.01))))</f>
        <v>1</v>
      </c>
      <c r="L17" s="0" t="n">
        <f aca="false">IF($B17="",0,COUNTIFS(SMIX2BT!$D$2:$D$200,$B17,SMIX2BT!$H$2:$H$200,"P5"))</f>
        <v>0</v>
      </c>
      <c r="M17" s="0" t="n">
        <f aca="false">MAX(0.5,MIN(1.5,1+IF($B17="",0,SUMPRODUCT((SMIX2BT!$D$2:$D$200=$B17)*(SMIX2BT!$H$2:$H$200="P5")*SMIX2BT!$I$2:$I$200*0.01))))</f>
        <v>1</v>
      </c>
      <c r="N17" s="0" t="n">
        <f aca="false">IF($B17="",0,IFERROR(SUMPRODUCT((SMIX2BT!$D$2:$D$200=$B17)*SMIX2BT!$I$2:$I$200),0))</f>
        <v>0</v>
      </c>
      <c r="O17" s="0" t="n">
        <f aca="false">D17+F17+H17+J17+L17</f>
        <v>0</v>
      </c>
    </row>
    <row r="18" customFormat="false" ht="15.75" hidden="false" customHeight="false" outlineLevel="0" collapsed="false">
      <c r="A18" s="0" t="s">
        <v>137</v>
      </c>
      <c r="C18" s="0" t="s">
        <v>138</v>
      </c>
      <c r="D18" s="0" t="n">
        <f aca="false">IF($B18="",0,COUNTIFS(SMIX2BT!$D$2:$D$200,$B18,SMIX2BT!$H$2:$H$200,"P1"))</f>
        <v>0</v>
      </c>
      <c r="E18" s="0" t="n">
        <f aca="false">MAX(0.5,MIN(1.5,1+IF($B18="",0,SUMPRODUCT((SMIX2BT!$D$2:$D$200=$B18)*(SMIX2BT!$H$2:$H$200="P1")*SMIX2BT!$I$2:$I$200*0.01))))</f>
        <v>1</v>
      </c>
      <c r="F18" s="0" t="n">
        <f aca="false">IF($B18="",0,COUNTIFS(SMIX2BT!$D$2:$D$200,$B18,SMIX2BT!$H$2:$H$200,"P2"))</f>
        <v>0</v>
      </c>
      <c r="G18" s="0" t="n">
        <f aca="false">MAX(0.5,MIN(1.5,1+IF($B18="",0,SUMPRODUCT((SMIX2BT!$D$2:$D$200=$B18)*(SMIX2BT!$H$2:$H$200="P2")*SMIX2BT!$I$2:$I$200*0.01))))</f>
        <v>1</v>
      </c>
      <c r="H18" s="0" t="n">
        <f aca="false">IF($B18="",0,COUNTIFS(SMIX2BT!$D$2:$D$200,$B18,SMIX2BT!$H$2:$H$200,"P3"))</f>
        <v>0</v>
      </c>
      <c r="I18" s="0" t="n">
        <f aca="false">MAX(0.5,MIN(1.5,1+IF($B18="",0,SUMPRODUCT((SMIX2BT!$D$2:$D$200=$B18)*(SMIX2BT!$H$2:$H$200="P3")*SMIX2BT!$I$2:$I$200*0.01))))</f>
        <v>1</v>
      </c>
      <c r="J18" s="0" t="n">
        <f aca="false">IF($B18="",0,COUNTIFS(SMIX2BT!$D$2:$D$200,$B18,SMIX2BT!$H$2:$H$200,"P4"))</f>
        <v>0</v>
      </c>
      <c r="K18" s="0" t="n">
        <f aca="false">MAX(0.5,MIN(1.5,1+IF($B18="",0,SUMPRODUCT((SMIX2BT!$D$2:$D$200=$B18)*(SMIX2BT!$H$2:$H$200="P4")*SMIX2BT!$I$2:$I$200*0.01))))</f>
        <v>1</v>
      </c>
      <c r="L18" s="0" t="n">
        <f aca="false">IF($B18="",0,COUNTIFS(SMIX2BT!$D$2:$D$200,$B18,SMIX2BT!$H$2:$H$200,"P5"))</f>
        <v>0</v>
      </c>
      <c r="M18" s="0" t="n">
        <f aca="false">MAX(0.5,MIN(1.5,1+IF($B18="",0,SUMPRODUCT((SMIX2BT!$D$2:$D$200=$B18)*(SMIX2BT!$H$2:$H$200="P5")*SMIX2BT!$I$2:$I$200*0.01))))</f>
        <v>1</v>
      </c>
      <c r="N18" s="0" t="n">
        <f aca="false">IF($B18="",0,IFERROR(SUMPRODUCT((SMIX2BT!$D$2:$D$200=$B18)*SMIX2BT!$I$2:$I$200),0))</f>
        <v>0</v>
      </c>
      <c r="O18" s="0" t="n">
        <f aca="false">D18+F18+H18+J18+L18</f>
        <v>0</v>
      </c>
    </row>
    <row r="19" customFormat="false" ht="15.75" hidden="false" customHeight="false" outlineLevel="0" collapsed="false">
      <c r="A19" s="0" t="s">
        <v>139</v>
      </c>
      <c r="C19" s="0" t="s">
        <v>140</v>
      </c>
      <c r="D19" s="0" t="n">
        <f aca="false">IF($B19="",0,COUNTIFS(SMIX2BT!$D$2:$D$200,$B19,SMIX2BT!$H$2:$H$200,"P1"))</f>
        <v>0</v>
      </c>
      <c r="E19" s="0" t="n">
        <f aca="false">MAX(0.5,MIN(1.5,1+IF($B19="",0,SUMPRODUCT((SMIX2BT!$D$2:$D$200=$B19)*(SMIX2BT!$H$2:$H$200="P1")*SMIX2BT!$I$2:$I$200*0.01))))</f>
        <v>1</v>
      </c>
      <c r="F19" s="0" t="n">
        <f aca="false">IF($B19="",0,COUNTIFS(SMIX2BT!$D$2:$D$200,$B19,SMIX2BT!$H$2:$H$200,"P2"))</f>
        <v>0</v>
      </c>
      <c r="G19" s="0" t="n">
        <f aca="false">MAX(0.5,MIN(1.5,1+IF($B19="",0,SUMPRODUCT((SMIX2BT!$D$2:$D$200=$B19)*(SMIX2BT!$H$2:$H$200="P2")*SMIX2BT!$I$2:$I$200*0.01))))</f>
        <v>1</v>
      </c>
      <c r="H19" s="0" t="n">
        <f aca="false">IF($B19="",0,COUNTIFS(SMIX2BT!$D$2:$D$200,$B19,SMIX2BT!$H$2:$H$200,"P3"))</f>
        <v>0</v>
      </c>
      <c r="I19" s="0" t="n">
        <f aca="false">MAX(0.5,MIN(1.5,1+IF($B19="",0,SUMPRODUCT((SMIX2BT!$D$2:$D$200=$B19)*(SMIX2BT!$H$2:$H$200="P3")*SMIX2BT!$I$2:$I$200*0.01))))</f>
        <v>1</v>
      </c>
      <c r="J19" s="0" t="n">
        <f aca="false">IF($B19="",0,COUNTIFS(SMIX2BT!$D$2:$D$200,$B19,SMIX2BT!$H$2:$H$200,"P4"))</f>
        <v>0</v>
      </c>
      <c r="K19" s="0" t="n">
        <f aca="false">MAX(0.5,MIN(1.5,1+IF($B19="",0,SUMPRODUCT((SMIX2BT!$D$2:$D$200=$B19)*(SMIX2BT!$H$2:$H$200="P4")*SMIX2BT!$I$2:$I$200*0.01))))</f>
        <v>1</v>
      </c>
      <c r="L19" s="0" t="n">
        <f aca="false">IF($B19="",0,COUNTIFS(SMIX2BT!$D$2:$D$200,$B19,SMIX2BT!$H$2:$H$200,"P5"))</f>
        <v>0</v>
      </c>
      <c r="M19" s="0" t="n">
        <f aca="false">MAX(0.5,MIN(1.5,1+IF($B19="",0,SUMPRODUCT((SMIX2BT!$D$2:$D$200=$B19)*(SMIX2BT!$H$2:$H$200="P5")*SMIX2BT!$I$2:$I$200*0.01))))</f>
        <v>1</v>
      </c>
      <c r="N19" s="0" t="n">
        <f aca="false">IF($B19="",0,IFERROR(SUMPRODUCT((SMIX2BT!$D$2:$D$200=$B19)*SMIX2BT!$I$2:$I$200),0))</f>
        <v>0</v>
      </c>
      <c r="O19" s="0" t="n">
        <f aca="false">D19+F19+H19+J19+L19</f>
        <v>0</v>
      </c>
    </row>
    <row r="20" customFormat="false" ht="15.75" hidden="false" customHeight="false" outlineLevel="0" collapsed="false">
      <c r="A20" s="0" t="s">
        <v>141</v>
      </c>
      <c r="C20" s="0" t="s">
        <v>142</v>
      </c>
      <c r="D20" s="0" t="n">
        <f aca="false">IF($B20="",0,COUNTIFS(SMIX2BT!$D$2:$D$200,$B20,SMIX2BT!$H$2:$H$200,"P1"))</f>
        <v>0</v>
      </c>
      <c r="E20" s="0" t="n">
        <f aca="false">MAX(0.5,MIN(1.5,1+IF($B20="",0,SUMPRODUCT((SMIX2BT!$D$2:$D$200=$B20)*(SMIX2BT!$H$2:$H$200="P1")*SMIX2BT!$I$2:$I$200*0.01))))</f>
        <v>1</v>
      </c>
      <c r="F20" s="0" t="n">
        <f aca="false">IF($B20="",0,COUNTIFS(SMIX2BT!$D$2:$D$200,$B20,SMIX2BT!$H$2:$H$200,"P2"))</f>
        <v>0</v>
      </c>
      <c r="G20" s="0" t="n">
        <f aca="false">MAX(0.5,MIN(1.5,1+IF($B20="",0,SUMPRODUCT((SMIX2BT!$D$2:$D$200=$B20)*(SMIX2BT!$H$2:$H$200="P2")*SMIX2BT!$I$2:$I$200*0.01))))</f>
        <v>1</v>
      </c>
      <c r="H20" s="0" t="n">
        <f aca="false">IF($B20="",0,COUNTIFS(SMIX2BT!$D$2:$D$200,$B20,SMIX2BT!$H$2:$H$200,"P3"))</f>
        <v>0</v>
      </c>
      <c r="I20" s="0" t="n">
        <f aca="false">MAX(0.5,MIN(1.5,1+IF($B20="",0,SUMPRODUCT((SMIX2BT!$D$2:$D$200=$B20)*(SMIX2BT!$H$2:$H$200="P3")*SMIX2BT!$I$2:$I$200*0.01))))</f>
        <v>1</v>
      </c>
      <c r="J20" s="0" t="n">
        <f aca="false">IF($B20="",0,COUNTIFS(SMIX2BT!$D$2:$D$200,$B20,SMIX2BT!$H$2:$H$200,"P4"))</f>
        <v>0</v>
      </c>
      <c r="K20" s="0" t="n">
        <f aca="false">MAX(0.5,MIN(1.5,1+IF($B20="",0,SUMPRODUCT((SMIX2BT!$D$2:$D$200=$B20)*(SMIX2BT!$H$2:$H$200="P4")*SMIX2BT!$I$2:$I$200*0.01))))</f>
        <v>1</v>
      </c>
      <c r="L20" s="0" t="n">
        <f aca="false">IF($B20="",0,COUNTIFS(SMIX2BT!$D$2:$D$200,$B20,SMIX2BT!$H$2:$H$200,"P5"))</f>
        <v>0</v>
      </c>
      <c r="M20" s="0" t="n">
        <f aca="false">MAX(0.5,MIN(1.5,1+IF($B20="",0,SUMPRODUCT((SMIX2BT!$D$2:$D$200=$B20)*(SMIX2BT!$H$2:$H$200="P5")*SMIX2BT!$I$2:$I$200*0.01))))</f>
        <v>1</v>
      </c>
      <c r="N20" s="0" t="n">
        <f aca="false">IF($B20="",0,IFERROR(SUMPRODUCT((SMIX2BT!$D$2:$D$200=$B20)*SMIX2BT!$I$2:$I$200),0))</f>
        <v>0</v>
      </c>
      <c r="O20" s="0" t="n">
        <f aca="false">D20+F20+H20+J20+L20</f>
        <v>0</v>
      </c>
    </row>
    <row r="21" customFormat="false" ht="15.75" hidden="false" customHeight="false" outlineLevel="0" collapsed="false">
      <c r="A21" s="0" t="s">
        <v>143</v>
      </c>
      <c r="C21" s="0" t="s">
        <v>144</v>
      </c>
      <c r="D21" s="0" t="n">
        <f aca="false">IF($B21="",0,COUNTIFS(SMIX2BT!$D$2:$D$200,$B21,SMIX2BT!$H$2:$H$200,"P1"))</f>
        <v>0</v>
      </c>
      <c r="E21" s="0" t="n">
        <f aca="false">MAX(0.5,MIN(1.5,1+IF($B21="",0,SUMPRODUCT((SMIX2BT!$D$2:$D$200=$B21)*(SMIX2BT!$H$2:$H$200="P1")*SMIX2BT!$I$2:$I$200*0.01))))</f>
        <v>1</v>
      </c>
      <c r="F21" s="0" t="n">
        <f aca="false">IF($B21="",0,COUNTIFS(SMIX2BT!$D$2:$D$200,$B21,SMIX2BT!$H$2:$H$200,"P2"))</f>
        <v>0</v>
      </c>
      <c r="G21" s="0" t="n">
        <f aca="false">MAX(0.5,MIN(1.5,1+IF($B21="",0,SUMPRODUCT((SMIX2BT!$D$2:$D$200=$B21)*(SMIX2BT!$H$2:$H$200="P2")*SMIX2BT!$I$2:$I$200*0.01))))</f>
        <v>1</v>
      </c>
      <c r="H21" s="0" t="n">
        <f aca="false">IF($B21="",0,COUNTIFS(SMIX2BT!$D$2:$D$200,$B21,SMIX2BT!$H$2:$H$200,"P3"))</f>
        <v>0</v>
      </c>
      <c r="I21" s="0" t="n">
        <f aca="false">MAX(0.5,MIN(1.5,1+IF($B21="",0,SUMPRODUCT((SMIX2BT!$D$2:$D$200=$B21)*(SMIX2BT!$H$2:$H$200="P3")*SMIX2BT!$I$2:$I$200*0.01))))</f>
        <v>1</v>
      </c>
      <c r="J21" s="0" t="n">
        <f aca="false">IF($B21="",0,COUNTIFS(SMIX2BT!$D$2:$D$200,$B21,SMIX2BT!$H$2:$H$200,"P4"))</f>
        <v>0</v>
      </c>
      <c r="K21" s="0" t="n">
        <f aca="false">MAX(0.5,MIN(1.5,1+IF($B21="",0,SUMPRODUCT((SMIX2BT!$D$2:$D$200=$B21)*(SMIX2BT!$H$2:$H$200="P4")*SMIX2BT!$I$2:$I$200*0.01))))</f>
        <v>1</v>
      </c>
      <c r="L21" s="0" t="n">
        <f aca="false">IF($B21="",0,COUNTIFS(SMIX2BT!$D$2:$D$200,$B21,SMIX2BT!$H$2:$H$200,"P5"))</f>
        <v>0</v>
      </c>
      <c r="M21" s="0" t="n">
        <f aca="false">MAX(0.5,MIN(1.5,1+IF($B21="",0,SUMPRODUCT((SMIX2BT!$D$2:$D$200=$B21)*(SMIX2BT!$H$2:$H$200="P5")*SMIX2BT!$I$2:$I$200*0.01))))</f>
        <v>1</v>
      </c>
      <c r="N21" s="0" t="n">
        <f aca="false">IF($B21="",0,IFERROR(SUMPRODUCT((SMIX2BT!$D$2:$D$200=$B21)*SMIX2BT!$I$2:$I$200),0))</f>
        <v>0</v>
      </c>
      <c r="O21" s="0" t="n">
        <f aca="false">D21+F21+H21+J21+L21</f>
        <v>0</v>
      </c>
    </row>
    <row r="22" customFormat="false" ht="15.75" hidden="false" customHeight="false" outlineLevel="0" collapsed="false">
      <c r="A22" s="0" t="s">
        <v>145</v>
      </c>
      <c r="C22" s="0" t="s">
        <v>146</v>
      </c>
      <c r="D22" s="0" t="n">
        <f aca="false">IF($B22="",0,COUNTIFS(SMIX2BT!$D$2:$D$200,$B22,SMIX2BT!$H$2:$H$200,"P1"))</f>
        <v>0</v>
      </c>
      <c r="E22" s="0" t="n">
        <f aca="false">MAX(0.5,MIN(1.5,1+IF($B22="",0,SUMPRODUCT((SMIX2BT!$D$2:$D$200=$B22)*(SMIX2BT!$H$2:$H$200="P1")*SMIX2BT!$I$2:$I$200*0.01))))</f>
        <v>1</v>
      </c>
      <c r="F22" s="0" t="n">
        <f aca="false">IF($B22="",0,COUNTIFS(SMIX2BT!$D$2:$D$200,$B22,SMIX2BT!$H$2:$H$200,"P2"))</f>
        <v>0</v>
      </c>
      <c r="G22" s="0" t="n">
        <f aca="false">MAX(0.5,MIN(1.5,1+IF($B22="",0,SUMPRODUCT((SMIX2BT!$D$2:$D$200=$B22)*(SMIX2BT!$H$2:$H$200="P2")*SMIX2BT!$I$2:$I$200*0.01))))</f>
        <v>1</v>
      </c>
      <c r="H22" s="0" t="n">
        <f aca="false">IF($B22="",0,COUNTIFS(SMIX2BT!$D$2:$D$200,$B22,SMIX2BT!$H$2:$H$200,"P3"))</f>
        <v>0</v>
      </c>
      <c r="I22" s="0" t="n">
        <f aca="false">MAX(0.5,MIN(1.5,1+IF($B22="",0,SUMPRODUCT((SMIX2BT!$D$2:$D$200=$B22)*(SMIX2BT!$H$2:$H$200="P3")*SMIX2BT!$I$2:$I$200*0.01))))</f>
        <v>1</v>
      </c>
      <c r="J22" s="0" t="n">
        <f aca="false">IF($B22="",0,COUNTIFS(SMIX2BT!$D$2:$D$200,$B22,SMIX2BT!$H$2:$H$200,"P4"))</f>
        <v>0</v>
      </c>
      <c r="K22" s="0" t="n">
        <f aca="false">MAX(0.5,MIN(1.5,1+IF($B22="",0,SUMPRODUCT((SMIX2BT!$D$2:$D$200=$B22)*(SMIX2BT!$H$2:$H$200="P4")*SMIX2BT!$I$2:$I$200*0.01))))</f>
        <v>1</v>
      </c>
      <c r="L22" s="0" t="n">
        <f aca="false">IF($B22="",0,COUNTIFS(SMIX2BT!$D$2:$D$200,$B22,SMIX2BT!$H$2:$H$200,"P5"))</f>
        <v>0</v>
      </c>
      <c r="M22" s="0" t="n">
        <f aca="false">MAX(0.5,MIN(1.5,1+IF($B22="",0,SUMPRODUCT((SMIX2BT!$D$2:$D$200=$B22)*(SMIX2BT!$H$2:$H$200="P5")*SMIX2BT!$I$2:$I$200*0.01))))</f>
        <v>1</v>
      </c>
      <c r="N22" s="0" t="n">
        <f aca="false">IF($B22="",0,IFERROR(SUMPRODUCT((SMIX2BT!$D$2:$D$200=$B22)*SMIX2BT!$I$2:$I$200),0))</f>
        <v>0</v>
      </c>
      <c r="O22" s="0" t="n">
        <f aca="false">D22+F22+H22+J22+L22</f>
        <v>0</v>
      </c>
    </row>
    <row r="23" customFormat="false" ht="15.75" hidden="false" customHeight="false" outlineLevel="0" collapsed="false">
      <c r="A23" s="0" t="s">
        <v>147</v>
      </c>
      <c r="C23" s="0" t="s">
        <v>148</v>
      </c>
      <c r="D23" s="0" t="n">
        <f aca="false">IF($B23="",0,COUNTIFS(SMIX2BT!$D$2:$D$200,$B23,SMIX2BT!$H$2:$H$200,"P1"))</f>
        <v>0</v>
      </c>
      <c r="E23" s="0" t="n">
        <f aca="false">MAX(0.5,MIN(1.5,1+IF($B23="",0,SUMPRODUCT((SMIX2BT!$D$2:$D$200=$B23)*(SMIX2BT!$H$2:$H$200="P1")*SMIX2BT!$I$2:$I$200*0.01))))</f>
        <v>1</v>
      </c>
      <c r="F23" s="0" t="n">
        <f aca="false">IF($B23="",0,COUNTIFS(SMIX2BT!$D$2:$D$200,$B23,SMIX2BT!$H$2:$H$200,"P2"))</f>
        <v>0</v>
      </c>
      <c r="G23" s="0" t="n">
        <f aca="false">MAX(0.5,MIN(1.5,1+IF($B23="",0,SUMPRODUCT((SMIX2BT!$D$2:$D$200=$B23)*(SMIX2BT!$H$2:$H$200="P2")*SMIX2BT!$I$2:$I$200*0.01))))</f>
        <v>1</v>
      </c>
      <c r="H23" s="0" t="n">
        <f aca="false">IF($B23="",0,COUNTIFS(SMIX2BT!$D$2:$D$200,$B23,SMIX2BT!$H$2:$H$200,"P3"))</f>
        <v>0</v>
      </c>
      <c r="I23" s="0" t="n">
        <f aca="false">MAX(0.5,MIN(1.5,1+IF($B23="",0,SUMPRODUCT((SMIX2BT!$D$2:$D$200=$B23)*(SMIX2BT!$H$2:$H$200="P3")*SMIX2BT!$I$2:$I$200*0.01))))</f>
        <v>1</v>
      </c>
      <c r="J23" s="0" t="n">
        <f aca="false">IF($B23="",0,COUNTIFS(SMIX2BT!$D$2:$D$200,$B23,SMIX2BT!$H$2:$H$200,"P4"))</f>
        <v>0</v>
      </c>
      <c r="K23" s="0" t="n">
        <f aca="false">MAX(0.5,MIN(1.5,1+IF($B23="",0,SUMPRODUCT((SMIX2BT!$D$2:$D$200=$B23)*(SMIX2BT!$H$2:$H$200="P4")*SMIX2BT!$I$2:$I$200*0.01))))</f>
        <v>1</v>
      </c>
      <c r="L23" s="0" t="n">
        <f aca="false">IF($B23="",0,COUNTIFS(SMIX2BT!$D$2:$D$200,$B23,SMIX2BT!$H$2:$H$200,"P5"))</f>
        <v>0</v>
      </c>
      <c r="M23" s="0" t="n">
        <f aca="false">MAX(0.5,MIN(1.5,1+IF($B23="",0,SUMPRODUCT((SMIX2BT!$D$2:$D$200=$B23)*(SMIX2BT!$H$2:$H$200="P5")*SMIX2BT!$I$2:$I$200*0.01))))</f>
        <v>1</v>
      </c>
      <c r="N23" s="0" t="n">
        <f aca="false">IF($B23="",0,IFERROR(SUMPRODUCT((SMIX2BT!$D$2:$D$200=$B23)*SMIX2BT!$I$2:$I$200),0))</f>
        <v>0</v>
      </c>
      <c r="O23" s="0" t="n">
        <f aca="false">D23+F23+H23+J23+L23</f>
        <v>0</v>
      </c>
    </row>
    <row r="24" customFormat="false" ht="15.75" hidden="false" customHeight="false" outlineLevel="0" collapsed="false">
      <c r="D24" s="0" t="n">
        <f aca="false">IF($B24="",0,COUNTIFS(SMIX2BT!$D$2:$D$200,$B24,SMIX2BT!$H$2:$H$200,"P1"))</f>
        <v>0</v>
      </c>
      <c r="E24" s="0" t="n">
        <f aca="false">MAX(0.5,MIN(1.5,1+IF($B24="",0,SUMPRODUCT((SMIX2BT!$D$2:$D$200=$B24)*(SMIX2BT!$H$2:$H$200="P1")*SMIX2BT!$I$2:$I$200*0.01))))</f>
        <v>1</v>
      </c>
      <c r="F24" s="0" t="n">
        <f aca="false">IF($B24="",0,COUNTIFS(SMIX2BT!$D$2:$D$200,$B24,SMIX2BT!$H$2:$H$200,"P2"))</f>
        <v>0</v>
      </c>
      <c r="G24" s="0" t="n">
        <f aca="false">MAX(0.5,MIN(1.5,1+IF($B24="",0,SUMPRODUCT((SMIX2BT!$D$2:$D$200=$B24)*(SMIX2BT!$H$2:$H$200="P2")*SMIX2BT!$I$2:$I$200*0.01))))</f>
        <v>1</v>
      </c>
      <c r="H24" s="0" t="n">
        <f aca="false">IF($B24="",0,COUNTIFS(SMIX2BT!$D$2:$D$200,$B24,SMIX2BT!$H$2:$H$200,"P3"))</f>
        <v>0</v>
      </c>
      <c r="I24" s="0" t="n">
        <f aca="false">MAX(0.5,MIN(1.5,1+IF($B24="",0,SUMPRODUCT((SMIX2BT!$D$2:$D$200=$B24)*(SMIX2BT!$H$2:$H$200="P3")*SMIX2BT!$I$2:$I$200*0.01))))</f>
        <v>1</v>
      </c>
      <c r="J24" s="0" t="n">
        <f aca="false">IF($B24="",0,COUNTIFS(SMIX2BT!$D$2:$D$200,$B24,SMIX2BT!$H$2:$H$200,"P4"))</f>
        <v>0</v>
      </c>
      <c r="K24" s="0" t="n">
        <f aca="false">MAX(0.5,MIN(1.5,1+IF($B24="",0,SUMPRODUCT((SMIX2BT!$D$2:$D$200=$B24)*(SMIX2BT!$H$2:$H$200="P4")*SMIX2BT!$I$2:$I$200*0.01))))</f>
        <v>1</v>
      </c>
      <c r="L24" s="0" t="n">
        <f aca="false">IF($B24="",0,COUNTIFS(SMIX2BT!$D$2:$D$200,$B24,SMIX2BT!$H$2:$H$200,"P5"))</f>
        <v>0</v>
      </c>
      <c r="M24" s="0" t="n">
        <f aca="false">MAX(0.5,MIN(1.5,1+IF($B24="",0,SUMPRODUCT((SMIX2BT!$D$2:$D$200=$B24)*(SMIX2BT!$H$2:$H$200="P5")*SMIX2BT!$I$2:$I$200*0.01))))</f>
        <v>1</v>
      </c>
      <c r="N24" s="0" t="n">
        <f aca="false">IF($B24="",0,IFERROR(SUMPRODUCT((SMIX2BT!$D$2:$D$200=$B24)*SMIX2BT!$I$2:$I$200),0))</f>
        <v>0</v>
      </c>
      <c r="O24" s="0" t="n">
        <f aca="false">D24+F24+H24+J24+L24</f>
        <v>0</v>
      </c>
    </row>
    <row r="25" customFormat="false" ht="15.75" hidden="false" customHeight="false" outlineLevel="0" collapsed="false">
      <c r="D25" s="0" t="n">
        <f aca="false">IF($B25="",0,COUNTIFS(SMIX2BT!$D$2:$D$200,$B25,SMIX2BT!$H$2:$H$200,"P1"))</f>
        <v>0</v>
      </c>
      <c r="E25" s="0" t="n">
        <f aca="false">MAX(0.5,MIN(1.5,1+IF($B25="",0,SUMPRODUCT((SMIX2BT!$D$2:$D$200=$B25)*(SMIX2BT!$H$2:$H$200="P1")*SMIX2BT!$I$2:$I$200*0.01))))</f>
        <v>1</v>
      </c>
      <c r="F25" s="0" t="n">
        <f aca="false">IF($B25="",0,COUNTIFS(SMIX2BT!$D$2:$D$200,$B25,SMIX2BT!$H$2:$H$200,"P2"))</f>
        <v>0</v>
      </c>
      <c r="G25" s="0" t="n">
        <f aca="false">MAX(0.5,MIN(1.5,1+IF($B25="",0,SUMPRODUCT((SMIX2BT!$D$2:$D$200=$B25)*(SMIX2BT!$H$2:$H$200="P2")*SMIX2BT!$I$2:$I$200*0.01))))</f>
        <v>1</v>
      </c>
      <c r="H25" s="0" t="n">
        <f aca="false">IF($B25="",0,COUNTIFS(SMIX2BT!$D$2:$D$200,$B25,SMIX2BT!$H$2:$H$200,"P3"))</f>
        <v>0</v>
      </c>
      <c r="I25" s="0" t="n">
        <f aca="false">MAX(0.5,MIN(1.5,1+IF($B25="",0,SUMPRODUCT((SMIX2BT!$D$2:$D$200=$B25)*(SMIX2BT!$H$2:$H$200="P3")*SMIX2BT!$I$2:$I$200*0.01))))</f>
        <v>1</v>
      </c>
      <c r="J25" s="0" t="n">
        <f aca="false">IF($B25="",0,COUNTIFS(SMIX2BT!$D$2:$D$200,$B25,SMIX2BT!$H$2:$H$200,"P4"))</f>
        <v>0</v>
      </c>
      <c r="K25" s="0" t="n">
        <f aca="false">MAX(0.5,MIN(1.5,1+IF($B25="",0,SUMPRODUCT((SMIX2BT!$D$2:$D$200=$B25)*(SMIX2BT!$H$2:$H$200="P4")*SMIX2BT!$I$2:$I$200*0.01))))</f>
        <v>1</v>
      </c>
      <c r="L25" s="0" t="n">
        <f aca="false">IF($B25="",0,COUNTIFS(SMIX2BT!$D$2:$D$200,$B25,SMIX2BT!$H$2:$H$200,"P5"))</f>
        <v>0</v>
      </c>
      <c r="M25" s="0" t="n">
        <f aca="false">MAX(0.5,MIN(1.5,1+IF($B25="",0,SUMPRODUCT((SMIX2BT!$D$2:$D$200=$B25)*(SMIX2BT!$H$2:$H$200="P5")*SMIX2BT!$I$2:$I$200*0.01))))</f>
        <v>1</v>
      </c>
      <c r="N25" s="0" t="n">
        <f aca="false">IF($B25="",0,IFERROR(SUMPRODUCT((SMIX2BT!$D$2:$D$200=$B25)*SMIX2BT!$I$2:$I$200),0))</f>
        <v>0</v>
      </c>
      <c r="O25" s="0" t="n">
        <f aca="false">D25+F25+H25+J25+L25</f>
        <v>0</v>
      </c>
    </row>
    <row r="26" customFormat="false" ht="15.75" hidden="false" customHeight="false" outlineLevel="0" collapsed="false">
      <c r="D26" s="0" t="n">
        <f aca="false">IF($B26="",0,COUNTIFS(SMIX2BT!$D$2:$D$200,$B26,SMIX2BT!$H$2:$H$200,"P1"))</f>
        <v>0</v>
      </c>
      <c r="E26" s="0" t="n">
        <f aca="false">MAX(0.5,MIN(1.5,1+IF($B26="",0,SUMPRODUCT((SMIX2BT!$D$2:$D$200=$B26)*(SMIX2BT!$H$2:$H$200="P1")*SMIX2BT!$I$2:$I$200*0.01))))</f>
        <v>1</v>
      </c>
      <c r="F26" s="0" t="n">
        <f aca="false">IF($B26="",0,COUNTIFS(SMIX2BT!$D$2:$D$200,$B26,SMIX2BT!$H$2:$H$200,"P2"))</f>
        <v>0</v>
      </c>
      <c r="G26" s="0" t="n">
        <f aca="false">MAX(0.5,MIN(1.5,1+IF($B26="",0,SUMPRODUCT((SMIX2BT!$D$2:$D$200=$B26)*(SMIX2BT!$H$2:$H$200="P2")*SMIX2BT!$I$2:$I$200*0.01))))</f>
        <v>1</v>
      </c>
      <c r="H26" s="0" t="n">
        <f aca="false">IF($B26="",0,COUNTIFS(SMIX2BT!$D$2:$D$200,$B26,SMIX2BT!$H$2:$H$200,"P3"))</f>
        <v>0</v>
      </c>
      <c r="I26" s="0" t="n">
        <f aca="false">MAX(0.5,MIN(1.5,1+IF($B26="",0,SUMPRODUCT((SMIX2BT!$D$2:$D$200=$B26)*(SMIX2BT!$H$2:$H$200="P3")*SMIX2BT!$I$2:$I$200*0.01))))</f>
        <v>1</v>
      </c>
      <c r="J26" s="0" t="n">
        <f aca="false">IF($B26="",0,COUNTIFS(SMIX2BT!$D$2:$D$200,$B26,SMIX2BT!$H$2:$H$200,"P4"))</f>
        <v>0</v>
      </c>
      <c r="K26" s="0" t="n">
        <f aca="false">MAX(0.5,MIN(1.5,1+IF($B26="",0,SUMPRODUCT((SMIX2BT!$D$2:$D$200=$B26)*(SMIX2BT!$H$2:$H$200="P4")*SMIX2BT!$I$2:$I$200*0.01))))</f>
        <v>1</v>
      </c>
      <c r="L26" s="0" t="n">
        <f aca="false">IF($B26="",0,COUNTIFS(SMIX2BT!$D$2:$D$200,$B26,SMIX2BT!$H$2:$H$200,"P5"))</f>
        <v>0</v>
      </c>
      <c r="M26" s="0" t="n">
        <f aca="false">MAX(0.5,MIN(1.5,1+IF($B26="",0,SUMPRODUCT((SMIX2BT!$D$2:$D$200=$B26)*(SMIX2BT!$H$2:$H$200="P5")*SMIX2BT!$I$2:$I$200*0.01))))</f>
        <v>1</v>
      </c>
      <c r="N26" s="0" t="n">
        <f aca="false">IF($B26="",0,IFERROR(SUMPRODUCT((SMIX2BT!$D$2:$D$200=$B26)*SMIX2BT!$I$2:$I$200),0))</f>
        <v>0</v>
      </c>
      <c r="O26" s="0" t="n">
        <f aca="false">D26+F26+H26+J26+L26</f>
        <v>0</v>
      </c>
    </row>
    <row r="27" customFormat="false" ht="15.75" hidden="false" customHeight="false" outlineLevel="0" collapsed="false">
      <c r="D27" s="0" t="n">
        <f aca="false">IF($B27="",0,COUNTIFS(SMIX2BT!$D$2:$D$200,$B27,SMIX2BT!$H$2:$H$200,"P1"))</f>
        <v>0</v>
      </c>
      <c r="E27" s="0" t="n">
        <f aca="false">MAX(0.5,MIN(1.5,1+IF($B27="",0,SUMPRODUCT((SMIX2BT!$D$2:$D$200=$B27)*(SMIX2BT!$H$2:$H$200="P1")*SMIX2BT!$I$2:$I$200*0.01))))</f>
        <v>1</v>
      </c>
      <c r="F27" s="0" t="n">
        <f aca="false">IF($B27="",0,COUNTIFS(SMIX2BT!$D$2:$D$200,$B27,SMIX2BT!$H$2:$H$200,"P2"))</f>
        <v>0</v>
      </c>
      <c r="G27" s="0" t="n">
        <f aca="false">MAX(0.5,MIN(1.5,1+IF($B27="",0,SUMPRODUCT((SMIX2BT!$D$2:$D$200=$B27)*(SMIX2BT!$H$2:$H$200="P2")*SMIX2BT!$I$2:$I$200*0.01))))</f>
        <v>1</v>
      </c>
      <c r="H27" s="0" t="n">
        <f aca="false">IF($B27="",0,COUNTIFS(SMIX2BT!$D$2:$D$200,$B27,SMIX2BT!$H$2:$H$200,"P3"))</f>
        <v>0</v>
      </c>
      <c r="I27" s="0" t="n">
        <f aca="false">MAX(0.5,MIN(1.5,1+IF($B27="",0,SUMPRODUCT((SMIX2BT!$D$2:$D$200=$B27)*(SMIX2BT!$H$2:$H$200="P3")*SMIX2BT!$I$2:$I$200*0.01))))</f>
        <v>1</v>
      </c>
      <c r="J27" s="0" t="n">
        <f aca="false">IF($B27="",0,COUNTIFS(SMIX2BT!$D$2:$D$200,$B27,SMIX2BT!$H$2:$H$200,"P4"))</f>
        <v>0</v>
      </c>
      <c r="K27" s="0" t="n">
        <f aca="false">MAX(0.5,MIN(1.5,1+IF($B27="",0,SUMPRODUCT((SMIX2BT!$D$2:$D$200=$B27)*(SMIX2BT!$H$2:$H$200="P4")*SMIX2BT!$I$2:$I$200*0.01))))</f>
        <v>1</v>
      </c>
      <c r="L27" s="0" t="n">
        <f aca="false">IF($B27="",0,COUNTIFS(SMIX2BT!$D$2:$D$200,$B27,SMIX2BT!$H$2:$H$200,"P5"))</f>
        <v>0</v>
      </c>
      <c r="M27" s="0" t="n">
        <f aca="false">MAX(0.5,MIN(1.5,1+IF($B27="",0,SUMPRODUCT((SMIX2BT!$D$2:$D$200=$B27)*(SMIX2BT!$H$2:$H$200="P5")*SMIX2BT!$I$2:$I$200*0.01))))</f>
        <v>1</v>
      </c>
      <c r="N27" s="0" t="n">
        <f aca="false">IF($B27="",0,IFERROR(SUMPRODUCT((SMIX2BT!$D$2:$D$200=$B27)*SMIX2BT!$I$2:$I$200),0))</f>
        <v>0</v>
      </c>
      <c r="O27" s="0" t="n">
        <f aca="false">D27+F27+H27+J27+L27</f>
        <v>0</v>
      </c>
    </row>
    <row r="28" customFormat="false" ht="15.75" hidden="false" customHeight="false" outlineLevel="0" collapsed="false">
      <c r="D28" s="0" t="n">
        <f aca="false">IF($B28="",0,COUNTIFS(SMIX2BT!$D$2:$D$200,$B28,SMIX2BT!$H$2:$H$200,"P1"))</f>
        <v>0</v>
      </c>
      <c r="E28" s="0" t="n">
        <f aca="false">MAX(0.5,MIN(1.5,1+IF($B28="",0,SUMPRODUCT((SMIX2BT!$D$2:$D$200=$B28)*(SMIX2BT!$H$2:$H$200="P1")*SMIX2BT!$I$2:$I$200*0.01))))</f>
        <v>1</v>
      </c>
      <c r="F28" s="0" t="n">
        <f aca="false">IF($B28="",0,COUNTIFS(SMIX2BT!$D$2:$D$200,$B28,SMIX2BT!$H$2:$H$200,"P2"))</f>
        <v>0</v>
      </c>
      <c r="G28" s="0" t="n">
        <f aca="false">MAX(0.5,MIN(1.5,1+IF($B28="",0,SUMPRODUCT((SMIX2BT!$D$2:$D$200=$B28)*(SMIX2BT!$H$2:$H$200="P2")*SMIX2BT!$I$2:$I$200*0.01))))</f>
        <v>1</v>
      </c>
      <c r="H28" s="0" t="n">
        <f aca="false">IF($B28="",0,COUNTIFS(SMIX2BT!$D$2:$D$200,$B28,SMIX2BT!$H$2:$H$200,"P3"))</f>
        <v>0</v>
      </c>
      <c r="I28" s="0" t="n">
        <f aca="false">MAX(0.5,MIN(1.5,1+IF($B28="",0,SUMPRODUCT((SMIX2BT!$D$2:$D$200=$B28)*(SMIX2BT!$H$2:$H$200="P3")*SMIX2BT!$I$2:$I$200*0.01))))</f>
        <v>1</v>
      </c>
      <c r="J28" s="0" t="n">
        <f aca="false">IF($B28="",0,COUNTIFS(SMIX2BT!$D$2:$D$200,$B28,SMIX2BT!$H$2:$H$200,"P4"))</f>
        <v>0</v>
      </c>
      <c r="K28" s="0" t="n">
        <f aca="false">MAX(0.5,MIN(1.5,1+IF($B28="",0,SUMPRODUCT((SMIX2BT!$D$2:$D$200=$B28)*(SMIX2BT!$H$2:$H$200="P4")*SMIX2BT!$I$2:$I$200*0.01))))</f>
        <v>1</v>
      </c>
      <c r="L28" s="0" t="n">
        <f aca="false">IF($B28="",0,COUNTIFS(SMIX2BT!$D$2:$D$200,$B28,SMIX2BT!$H$2:$H$200,"P5"))</f>
        <v>0</v>
      </c>
      <c r="M28" s="0" t="n">
        <f aca="false">MAX(0.5,MIN(1.5,1+IF($B28="",0,SUMPRODUCT((SMIX2BT!$D$2:$D$200=$B28)*(SMIX2BT!$H$2:$H$200="P5")*SMIX2BT!$I$2:$I$200*0.01))))</f>
        <v>1</v>
      </c>
      <c r="N28" s="0" t="n">
        <f aca="false">IF($B28="",0,IFERROR(SUMPRODUCT((SMIX2BT!$D$2:$D$200=$B28)*SMIX2BT!$I$2:$I$200),0))</f>
        <v>0</v>
      </c>
      <c r="O28" s="0" t="n">
        <f aca="false">D28+F28+H28+J28+L28</f>
        <v>0</v>
      </c>
    </row>
    <row r="29" customFormat="false" ht="15.75" hidden="false" customHeight="false" outlineLevel="0" collapsed="false">
      <c r="D29" s="0" t="n">
        <f aca="false">IF($B29="",0,COUNTIFS(SMIX2BT!$D$2:$D$200,$B29,SMIX2BT!$H$2:$H$200,"P1"))</f>
        <v>0</v>
      </c>
      <c r="E29" s="0" t="n">
        <f aca="false">MAX(0.5,MIN(1.5,1+IF($B29="",0,SUMPRODUCT((SMIX2BT!$D$2:$D$200=$B29)*(SMIX2BT!$H$2:$H$200="P1")*SMIX2BT!$I$2:$I$200*0.01))))</f>
        <v>1</v>
      </c>
      <c r="F29" s="0" t="n">
        <f aca="false">IF($B29="",0,COUNTIFS(SMIX2BT!$D$2:$D$200,$B29,SMIX2BT!$H$2:$H$200,"P2"))</f>
        <v>0</v>
      </c>
      <c r="G29" s="0" t="n">
        <f aca="false">MAX(0.5,MIN(1.5,1+IF($B29="",0,SUMPRODUCT((SMIX2BT!$D$2:$D$200=$B29)*(SMIX2BT!$H$2:$H$200="P2")*SMIX2BT!$I$2:$I$200*0.01))))</f>
        <v>1</v>
      </c>
      <c r="H29" s="0" t="n">
        <f aca="false">IF($B29="",0,COUNTIFS(SMIX2BT!$D$2:$D$200,$B29,SMIX2BT!$H$2:$H$200,"P3"))</f>
        <v>0</v>
      </c>
      <c r="I29" s="0" t="n">
        <f aca="false">MAX(0.5,MIN(1.5,1+IF($B29="",0,SUMPRODUCT((SMIX2BT!$D$2:$D$200=$B29)*(SMIX2BT!$H$2:$H$200="P3")*SMIX2BT!$I$2:$I$200*0.01))))</f>
        <v>1</v>
      </c>
      <c r="J29" s="0" t="n">
        <f aca="false">IF($B29="",0,COUNTIFS(SMIX2BT!$D$2:$D$200,$B29,SMIX2BT!$H$2:$H$200,"P4"))</f>
        <v>0</v>
      </c>
      <c r="K29" s="0" t="n">
        <f aca="false">MAX(0.5,MIN(1.5,1+IF($B29="",0,SUMPRODUCT((SMIX2BT!$D$2:$D$200=$B29)*(SMIX2BT!$H$2:$H$200="P4")*SMIX2BT!$I$2:$I$200*0.01))))</f>
        <v>1</v>
      </c>
      <c r="L29" s="0" t="n">
        <f aca="false">IF($B29="",0,COUNTIFS(SMIX2BT!$D$2:$D$200,$B29,SMIX2BT!$H$2:$H$200,"P5"))</f>
        <v>0</v>
      </c>
      <c r="M29" s="0" t="n">
        <f aca="false">MAX(0.5,MIN(1.5,1+IF($B29="",0,SUMPRODUCT((SMIX2BT!$D$2:$D$200=$B29)*(SMIX2BT!$H$2:$H$200="P5")*SMIX2BT!$I$2:$I$200*0.01))))</f>
        <v>1</v>
      </c>
      <c r="N29" s="0" t="n">
        <f aca="false">IF($B29="",0,IFERROR(SUMPRODUCT((SMIX2BT!$D$2:$D$200=$B29)*SMIX2BT!$I$2:$I$200),0))</f>
        <v>0</v>
      </c>
      <c r="O29" s="0" t="n">
        <f aca="false">D29+F29+H29+J29+L29</f>
        <v>0</v>
      </c>
    </row>
    <row r="30" customFormat="false" ht="15.75" hidden="false" customHeight="false" outlineLevel="0" collapsed="false">
      <c r="D30" s="0" t="n">
        <f aca="false">IF($B30="",0,COUNTIFS(SMIX2BT!$D$2:$D$200,$B30,SMIX2BT!$H$2:$H$200,"P1"))</f>
        <v>0</v>
      </c>
      <c r="E30" s="0" t="n">
        <f aca="false">MAX(0.5,MIN(1.5,1+IF($B30="",0,SUMPRODUCT((SMIX2BT!$D$2:$D$200=$B30)*(SMIX2BT!$H$2:$H$200="P1")*SMIX2BT!$I$2:$I$200*0.01))))</f>
        <v>1</v>
      </c>
      <c r="F30" s="0" t="n">
        <f aca="false">IF($B30="",0,COUNTIFS(SMIX2BT!$D$2:$D$200,$B30,SMIX2BT!$H$2:$H$200,"P2"))</f>
        <v>0</v>
      </c>
      <c r="G30" s="0" t="n">
        <f aca="false">MAX(0.5,MIN(1.5,1+IF($B30="",0,SUMPRODUCT((SMIX2BT!$D$2:$D$200=$B30)*(SMIX2BT!$H$2:$H$200="P2")*SMIX2BT!$I$2:$I$200*0.01))))</f>
        <v>1</v>
      </c>
      <c r="H30" s="0" t="n">
        <f aca="false">IF($B30="",0,COUNTIFS(SMIX2BT!$D$2:$D$200,$B30,SMIX2BT!$H$2:$H$200,"P3"))</f>
        <v>0</v>
      </c>
      <c r="I30" s="0" t="n">
        <f aca="false">MAX(0.5,MIN(1.5,1+IF($B30="",0,SUMPRODUCT((SMIX2BT!$D$2:$D$200=$B30)*(SMIX2BT!$H$2:$H$200="P3")*SMIX2BT!$I$2:$I$200*0.01))))</f>
        <v>1</v>
      </c>
      <c r="J30" s="0" t="n">
        <f aca="false">IF($B30="",0,COUNTIFS(SMIX2BT!$D$2:$D$200,$B30,SMIX2BT!$H$2:$H$200,"P4"))</f>
        <v>0</v>
      </c>
      <c r="K30" s="0" t="n">
        <f aca="false">MAX(0.5,MIN(1.5,1+IF($B30="",0,SUMPRODUCT((SMIX2BT!$D$2:$D$200=$B30)*(SMIX2BT!$H$2:$H$200="P4")*SMIX2BT!$I$2:$I$200*0.01))))</f>
        <v>1</v>
      </c>
      <c r="L30" s="0" t="n">
        <f aca="false">IF($B30="",0,COUNTIFS(SMIX2BT!$D$2:$D$200,$B30,SMIX2BT!$H$2:$H$200,"P5"))</f>
        <v>0</v>
      </c>
      <c r="M30" s="0" t="n">
        <f aca="false">MAX(0.5,MIN(1.5,1+IF($B30="",0,SUMPRODUCT((SMIX2BT!$D$2:$D$200=$B30)*(SMIX2BT!$H$2:$H$200="P5")*SMIX2BT!$I$2:$I$200*0.01))))</f>
        <v>1</v>
      </c>
      <c r="N30" s="0" t="n">
        <f aca="false">IF($B30="",0,IFERROR(SUMPRODUCT((SMIX2BT!$D$2:$D$200=$B30)*SMIX2BT!$I$2:$I$200),0))</f>
        <v>0</v>
      </c>
      <c r="O30" s="0" t="n">
        <f aca="false">D30+F30+H30+J30+L30</f>
        <v>0</v>
      </c>
    </row>
    <row r="31" customFormat="false" ht="15.75" hidden="false" customHeight="false" outlineLevel="0" collapsed="false">
      <c r="A31" s="0" t="s">
        <v>103</v>
      </c>
      <c r="C31" s="0" t="s">
        <v>104</v>
      </c>
      <c r="D31" s="0" t="n">
        <f aca="false">IF($B31="",0,COUNTIFS(SMIX2BT!$D$2:$D$200,$B31,SMIX2BT!$H$2:$H$200,"P1"))</f>
        <v>0</v>
      </c>
      <c r="E31" s="0" t="n">
        <f aca="false">MAX(0.5,MIN(1.5,1+IF($B31="",0,SUMPRODUCT((SMIX2BT!$D$2:$D$200=$B31)*(SMIX2BT!$H$2:$H$200="P1")*SMIX2BT!$I$2:$I$200*0.01))))</f>
        <v>1</v>
      </c>
      <c r="F31" s="0" t="n">
        <f aca="false">IF($B31="",0,COUNTIFS(SMIX2BT!$D$2:$D$200,$B31,SMIX2BT!$H$2:$H$200,"P2"))</f>
        <v>0</v>
      </c>
      <c r="G31" s="0" t="n">
        <f aca="false">MAX(0.5,MIN(1.5,1+IF($B31="",0,SUMPRODUCT((SMIX2BT!$D$2:$D$200=$B31)*(SMIX2BT!$H$2:$H$200="P2")*SMIX2BT!$I$2:$I$200*0.01))))</f>
        <v>1</v>
      </c>
      <c r="H31" s="0" t="n">
        <f aca="false">IF($B31="",0,COUNTIFS(SMIX2BT!$D$2:$D$200,$B31,SMIX2BT!$H$2:$H$200,"P3"))</f>
        <v>0</v>
      </c>
      <c r="I31" s="0" t="n">
        <f aca="false">MAX(0.5,MIN(1.5,1+IF($B31="",0,SUMPRODUCT((SMIX2BT!$D$2:$D$200=$B31)*(SMIX2BT!$H$2:$H$200="P3")*SMIX2BT!$I$2:$I$200*0.01))))</f>
        <v>1</v>
      </c>
      <c r="J31" s="0" t="n">
        <f aca="false">IF($B31="",0,COUNTIFS(SMIX2BT!$D$2:$D$200,$B31,SMIX2BT!$H$2:$H$200,"P4"))</f>
        <v>0</v>
      </c>
      <c r="K31" s="0" t="n">
        <f aca="false">MAX(0.5,MIN(1.5,1+IF($B31="",0,SUMPRODUCT((SMIX2BT!$D$2:$D$200=$B31)*(SMIX2BT!$H$2:$H$200="P4")*SMIX2BT!$I$2:$I$200*0.01))))</f>
        <v>1</v>
      </c>
      <c r="L31" s="0" t="n">
        <f aca="false">IF($B31="",0,COUNTIFS(SMIX2BT!$D$2:$D$200,$B31,SMIX2BT!$H$2:$H$200,"P5"))</f>
        <v>0</v>
      </c>
      <c r="M31" s="0" t="n">
        <f aca="false">MAX(0.5,MIN(1.5,1+IF($B31="",0,SUMPRODUCT((SMIX2BT!$D$2:$D$200=$B31)*(SMIX2BT!$H$2:$H$200="P5")*SMIX2BT!$I$2:$I$200*0.01))))</f>
        <v>1</v>
      </c>
      <c r="N31" s="0" t="n">
        <f aca="false">IF($B31="",0,IFERROR(SUMPRODUCT((SMIX2BT!$D$2:$D$200=$B31)*SMIX2BT!$I$2:$I$200),0))</f>
        <v>0</v>
      </c>
      <c r="O31" s="0" t="n">
        <f aca="false">D31+F31+H31+J31+L31</f>
        <v>0</v>
      </c>
    </row>
    <row r="32" customFormat="false" ht="15.75" hidden="false" customHeight="false" outlineLevel="0" collapsed="false">
      <c r="A32" s="0" t="s">
        <v>105</v>
      </c>
      <c r="D32" s="0" t="n">
        <f aca="false">IF($B32="",0,COUNTIFS(SMIX2BT!$D$2:$D$200,$B32,SMIX2BT!$H$2:$H$200,"P1"))</f>
        <v>0</v>
      </c>
      <c r="E32" s="0" t="n">
        <f aca="false">MAX(0.5,MIN(1.5,1+IF($B32="",0,SUMPRODUCT((SMIX2BT!$D$2:$D$200=$B32)*(SMIX2BT!$H$2:$H$200="P1")*SMIX2BT!$I$2:$I$200*0.01))))</f>
        <v>1</v>
      </c>
      <c r="F32" s="0" t="n">
        <f aca="false">IF($B32="",0,COUNTIFS(SMIX2BT!$D$2:$D$200,$B32,SMIX2BT!$H$2:$H$200,"P2"))</f>
        <v>0</v>
      </c>
      <c r="G32" s="0" t="n">
        <f aca="false">MAX(0.5,MIN(1.5,1+IF($B32="",0,SUMPRODUCT((SMIX2BT!$D$2:$D$200=$B32)*(SMIX2BT!$H$2:$H$200="P2")*SMIX2BT!$I$2:$I$200*0.01))))</f>
        <v>1</v>
      </c>
      <c r="H32" s="0" t="n">
        <f aca="false">IF($B32="",0,COUNTIFS(SMIX2BT!$D$2:$D$200,$B32,SMIX2BT!$H$2:$H$200,"P3"))</f>
        <v>0</v>
      </c>
      <c r="I32" s="0" t="n">
        <f aca="false">MAX(0.5,MIN(1.5,1+IF($B32="",0,SUMPRODUCT((SMIX2BT!$D$2:$D$200=$B32)*(SMIX2BT!$H$2:$H$200="P3")*SMIX2BT!$I$2:$I$200*0.01))))</f>
        <v>1</v>
      </c>
      <c r="J32" s="0" t="n">
        <f aca="false">IF($B32="",0,COUNTIFS(SMIX2BT!$D$2:$D$200,$B32,SMIX2BT!$H$2:$H$200,"P4"))</f>
        <v>0</v>
      </c>
      <c r="K32" s="0" t="n">
        <f aca="false">MAX(0.5,MIN(1.5,1+IF($B32="",0,SUMPRODUCT((SMIX2BT!$D$2:$D$200=$B32)*(SMIX2BT!$H$2:$H$200="P4")*SMIX2BT!$I$2:$I$200*0.01))))</f>
        <v>1</v>
      </c>
      <c r="L32" s="0" t="n">
        <f aca="false">IF($B32="",0,COUNTIFS(SMIX2BT!$D$2:$D$200,$B32,SMIX2BT!$H$2:$H$200,"P5"))</f>
        <v>0</v>
      </c>
      <c r="M32" s="0" t="n">
        <f aca="false">MAX(0.5,MIN(1.5,1+IF($B32="",0,SUMPRODUCT((SMIX2BT!$D$2:$D$200=$B32)*(SMIX2BT!$H$2:$H$200="P5")*SMIX2BT!$I$2:$I$200*0.01))))</f>
        <v>1</v>
      </c>
      <c r="N32" s="0" t="n">
        <f aca="false">IF($B32="",0,IFERROR(SUMPRODUCT((SMIX2BT!$D$2:$D$200=$B32)*SMIX2BT!$I$2:$I$200),0))</f>
        <v>0</v>
      </c>
      <c r="O32" s="0" t="n">
        <f aca="false">D32+F32+H32+J32+L32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outlinePr summaryBelow="0"/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18.88"/>
    <col collapsed="false" customWidth="true" hidden="false" outlineLevel="0" max="4" min="4" style="0" width="29.63"/>
    <col collapsed="false" customWidth="true" hidden="false" outlineLevel="0" max="5" min="5" style="0" width="31.38"/>
    <col collapsed="false" customWidth="true" hidden="false" outlineLevel="0" max="6" min="6" style="0" width="18.88"/>
    <col collapsed="false" customWidth="true" hidden="false" outlineLevel="0" max="7" min="7" style="0" width="37.13"/>
    <col collapsed="false" customWidth="true" hidden="false" outlineLevel="0" max="28" min="8" style="0" width="18.88"/>
  </cols>
  <sheetData>
    <row r="1" customFormat="false" ht="22.5" hidden="false" customHeight="true" outlineLevel="0" collapsed="false">
      <c r="A1" s="0" t="s">
        <v>39</v>
      </c>
      <c r="B1" s="0" t="s">
        <v>40</v>
      </c>
      <c r="C1" s="0" t="s">
        <v>18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</row>
    <row r="2" customFormat="false" ht="22.5" hidden="false" customHeight="true" outlineLevel="0" collapsed="false">
      <c r="A2" s="0" t="n">
        <v>45939.8011150579</v>
      </c>
      <c r="B2" s="0" t="s">
        <v>149</v>
      </c>
      <c r="C2" s="0" t="s">
        <v>20</v>
      </c>
      <c r="D2" s="0" t="s">
        <v>150</v>
      </c>
      <c r="E2" s="0" t="s">
        <v>151</v>
      </c>
      <c r="F2" s="0" t="s">
        <v>152</v>
      </c>
      <c r="G2" s="0" t="s">
        <v>153</v>
      </c>
      <c r="H2" s="0" t="str">
        <f aca="false">IF(A2="","",IFERROR(CHOOSE(SUMPRODUCT((A2&gt;=Calendari!$B$2:$B$6)*(A2&lt;=Calendari!$C$2:$C$6)*{1,2,3,4,5}),"P1","P2","P3","P4","P5"),""))</f>
        <v/>
      </c>
      <c r="I2" s="0" t="n">
        <f aca="false">IF(F2="",0,IFERROR(VALUE(LEFT(TRIM(F2),FIND(" ",TRIM(F2))-1)),0))</f>
        <v>2</v>
      </c>
    </row>
    <row r="3" customFormat="false" ht="22.5" hidden="false" customHeight="true" outlineLevel="0" collapsed="false">
      <c r="A3" s="0" t="n">
        <v>45939.8016378357</v>
      </c>
      <c r="B3" s="0" t="s">
        <v>149</v>
      </c>
      <c r="C3" s="0" t="s">
        <v>20</v>
      </c>
      <c r="D3" s="0" t="s">
        <v>154</v>
      </c>
      <c r="E3" s="0" t="s">
        <v>151</v>
      </c>
      <c r="F3" s="0" t="s">
        <v>152</v>
      </c>
      <c r="G3" s="0" t="s">
        <v>153</v>
      </c>
      <c r="H3" s="0" t="str">
        <f aca="false">IF(A3="","",IFERROR(CHOOSE(SUMPRODUCT((A3&gt;=Calendari!$B$2:$B$6)*(A3&lt;=Calendari!$C$2:$C$6)*{1,2,3,4,5}),"P1","P2","P3","P4","P5"),""))</f>
        <v/>
      </c>
      <c r="I3" s="0" t="n">
        <f aca="false">IF(F3="",0,IFERROR(VALUE(LEFT(TRIM(F3),FIND(" ",TRIM(F3))-1)),0))</f>
        <v>2</v>
      </c>
    </row>
    <row r="4" customFormat="false" ht="22.5" hidden="false" customHeight="true" outlineLevel="0" collapsed="false">
      <c r="A4" s="0" t="n">
        <v>45939.801889919</v>
      </c>
      <c r="B4" s="0" t="s">
        <v>149</v>
      </c>
      <c r="C4" s="0" t="s">
        <v>20</v>
      </c>
      <c r="D4" s="0" t="s">
        <v>155</v>
      </c>
      <c r="E4" s="0" t="s">
        <v>151</v>
      </c>
      <c r="F4" s="0" t="s">
        <v>152</v>
      </c>
      <c r="G4" s="0" t="s">
        <v>153</v>
      </c>
      <c r="H4" s="0" t="str">
        <f aca="false">IF(A4="","",IFERROR(CHOOSE(SUMPRODUCT((A4&gt;=Calendari!$B$2:$B$6)*(A4&lt;=Calendari!$C$2:$C$6)*{1,2,3,4,5}),"P1","P2","P3","P4","P5"),""))</f>
        <v/>
      </c>
      <c r="I4" s="0" t="n">
        <f aca="false">IF(F4="",0,IFERROR(VALUE(LEFT(TRIM(F4),FIND(" ",TRIM(F4))-1)),0))</f>
        <v>2</v>
      </c>
    </row>
    <row r="5" customFormat="false" ht="22.5" hidden="false" customHeight="true" outlineLevel="0" collapsed="false">
      <c r="A5" s="0" t="n">
        <v>45939.9008771991</v>
      </c>
      <c r="B5" s="0" t="s">
        <v>156</v>
      </c>
      <c r="C5" s="0" t="s">
        <v>21</v>
      </c>
      <c r="D5" s="0" t="s">
        <v>157</v>
      </c>
      <c r="E5" s="0" t="s">
        <v>158</v>
      </c>
      <c r="F5" s="0" t="s">
        <v>159</v>
      </c>
      <c r="G5" s="3" t="s">
        <v>160</v>
      </c>
      <c r="H5" s="0" t="str">
        <f aca="false">IF(A5="","",IFERROR(CHOOSE(SUMPRODUCT((A5&gt;=Calendari!$B$2:$B$6)*(A5&lt;=Calendari!$C$2:$C$6)*{1,2,3,4,5}),"P1","P2","P3","P4","P5"),""))</f>
        <v/>
      </c>
      <c r="I5" s="0" t="n">
        <f aca="false">IF(F5="",0,IFERROR(VALUE(LEFT(TRIM(F5),FIND(" ",TRIM(F5))-1)),0))</f>
        <v>-1</v>
      </c>
    </row>
    <row r="6" customFormat="false" ht="22.5" hidden="false" customHeight="true" outlineLevel="0" collapsed="false">
      <c r="A6" s="0" t="n">
        <v>45953.7339593634</v>
      </c>
      <c r="B6" s="0" t="s">
        <v>149</v>
      </c>
      <c r="C6" s="0" t="s">
        <v>20</v>
      </c>
      <c r="D6" s="0" t="s">
        <v>155</v>
      </c>
      <c r="E6" s="0" t="s">
        <v>151</v>
      </c>
      <c r="F6" s="0" t="s">
        <v>161</v>
      </c>
      <c r="G6" s="0" t="s">
        <v>162</v>
      </c>
      <c r="H6" s="0" t="str">
        <f aca="false">IF(A6="","",IFERROR(CHOOSE(SUMPRODUCT((A6&gt;=Calendari!$B$2:$B$6)*(A6&lt;=Calendari!$C$2:$C$6)*{1,2,3,4,5}),"P1","P2","P3","P4","P5"),""))</f>
        <v/>
      </c>
      <c r="I6" s="0" t="n">
        <f aca="false">IF(F6="",0,IFERROR(VALUE(LEFT(TRIM(F6),FIND(" ",TRIM(F6))-1)),0))</f>
        <v>0</v>
      </c>
    </row>
    <row r="7" customFormat="false" ht="22.5" hidden="false" customHeight="true" outlineLevel="0" collapsed="false">
      <c r="A7" s="0" t="n">
        <v>45953.734274919</v>
      </c>
      <c r="B7" s="0" t="s">
        <v>149</v>
      </c>
      <c r="C7" s="0" t="s">
        <v>20</v>
      </c>
      <c r="D7" s="0" t="s">
        <v>163</v>
      </c>
      <c r="E7" s="0" t="s">
        <v>151</v>
      </c>
      <c r="F7" s="0" t="s">
        <v>161</v>
      </c>
      <c r="G7" s="0" t="s">
        <v>162</v>
      </c>
      <c r="H7" s="0" t="str">
        <f aca="false">IF(A7="","",IFERROR(CHOOSE(SUMPRODUCT((A7&gt;=Calendari!$B$2:$B$6)*(A7&lt;=Calendari!$C$2:$C$6)*{1,2,3,4,5}),"P1","P2","P3","P4","P5"),""))</f>
        <v/>
      </c>
      <c r="I7" s="0" t="n">
        <f aca="false">IF(F7="",0,IFERROR(VALUE(LEFT(TRIM(F7),FIND(" ",TRIM(F7))-1)),0))</f>
        <v>0</v>
      </c>
    </row>
    <row r="8" customFormat="false" ht="22.5" hidden="false" customHeight="true" outlineLevel="0" collapsed="false">
      <c r="A8" s="0" t="n">
        <v>45953.7349822685</v>
      </c>
      <c r="B8" s="0" t="s">
        <v>149</v>
      </c>
      <c r="C8" s="0" t="s">
        <v>20</v>
      </c>
      <c r="D8" s="0" t="s">
        <v>164</v>
      </c>
      <c r="E8" s="0" t="s">
        <v>151</v>
      </c>
      <c r="F8" s="0" t="s">
        <v>161</v>
      </c>
      <c r="G8" s="0" t="s">
        <v>162</v>
      </c>
      <c r="H8" s="0" t="str">
        <f aca="false">IF(A8="","",IFERROR(CHOOSE(SUMPRODUCT((A8&gt;=Calendari!$B$2:$B$6)*(A8&lt;=Calendari!$C$2:$C$6)*{1,2,3,4,5}),"P1","P2","P3","P4","P5"),""))</f>
        <v/>
      </c>
      <c r="I8" s="0" t="n">
        <f aca="false">IF(F8="",0,IFERROR(VALUE(LEFT(TRIM(F8),FIND(" ",TRIM(F8))-1)),0))</f>
        <v>0</v>
      </c>
    </row>
    <row r="9" customFormat="false" ht="22.5" hidden="false" customHeight="true" outlineLevel="0" collapsed="false">
      <c r="A9" s="0" t="n">
        <v>45959.701308206</v>
      </c>
      <c r="B9" s="0" t="s">
        <v>149</v>
      </c>
      <c r="C9" s="0" t="s">
        <v>20</v>
      </c>
      <c r="D9" s="0" t="s">
        <v>157</v>
      </c>
      <c r="E9" s="0" t="s">
        <v>165</v>
      </c>
      <c r="F9" s="0" t="s">
        <v>161</v>
      </c>
      <c r="G9" s="0" t="s">
        <v>166</v>
      </c>
      <c r="H9" s="0" t="str">
        <f aca="false">IF(A9="","",IFERROR(CHOOSE(SUMPRODUCT((A9&gt;=Calendari!$B$2:$B$6)*(A9&lt;=Calendari!$C$2:$C$6)*{1,2,3,4,5}),"P1","P2","P3","P4","P5"),""))</f>
        <v/>
      </c>
      <c r="I9" s="0" t="n">
        <f aca="false">IF(F9="",0,IFERROR(VALUE(LEFT(TRIM(F9),FIND(" ",TRIM(F9))-1)),0))</f>
        <v>0</v>
      </c>
    </row>
    <row r="10" customFormat="false" ht="22.5" hidden="false" customHeight="true" outlineLevel="0" collapsed="false">
      <c r="A10" s="0" t="n">
        <v>45959.7017550347</v>
      </c>
      <c r="B10" s="0" t="s">
        <v>149</v>
      </c>
      <c r="C10" s="0" t="s">
        <v>20</v>
      </c>
      <c r="D10" s="0" t="s">
        <v>164</v>
      </c>
      <c r="E10" s="0" t="s">
        <v>165</v>
      </c>
      <c r="F10" s="0" t="s">
        <v>161</v>
      </c>
      <c r="G10" s="0" t="s">
        <v>166</v>
      </c>
      <c r="H10" s="0" t="str">
        <f aca="false">IF(A10="","",IFERROR(CHOOSE(SUMPRODUCT((A10&gt;=Calendari!$B$2:$B$6)*(A10&lt;=Calendari!$C$2:$C$6)*{1,2,3,4,5}),"P1","P2","P3","P4","P5"),""))</f>
        <v/>
      </c>
      <c r="I10" s="0" t="n">
        <f aca="false">IF(F10="",0,IFERROR(VALUE(LEFT(TRIM(F10),FIND(" ",TRIM(F10))-1)),0))</f>
        <v>0</v>
      </c>
    </row>
    <row r="11" customFormat="false" ht="22.5" hidden="false" customHeight="true" outlineLevel="0" collapsed="false">
      <c r="A11" s="0" t="n">
        <v>45959.7021148264</v>
      </c>
      <c r="B11" s="0" t="s">
        <v>149</v>
      </c>
      <c r="C11" s="0" t="s">
        <v>20</v>
      </c>
      <c r="D11" s="0" t="s">
        <v>167</v>
      </c>
      <c r="E11" s="0" t="s">
        <v>165</v>
      </c>
      <c r="F11" s="0" t="s">
        <v>161</v>
      </c>
      <c r="G11" s="0" t="s">
        <v>166</v>
      </c>
      <c r="H11" s="0" t="str">
        <f aca="false">IF(A11="","",IFERROR(CHOOSE(SUMPRODUCT((A11&gt;=Calendari!$B$2:$B$6)*(A11&lt;=Calendari!$C$2:$C$6)*{1,2,3,4,5}),"P1","P2","P3","P4","P5"),""))</f>
        <v/>
      </c>
      <c r="I11" s="0" t="n">
        <f aca="false">IF(F11="",0,IFERROR(VALUE(LEFT(TRIM(F11),FIND(" ",TRIM(F11))-1)),0))</f>
        <v>0</v>
      </c>
    </row>
    <row r="12" customFormat="false" ht="22.5" hidden="false" customHeight="true" outlineLevel="0" collapsed="false">
      <c r="A12" s="0" t="n">
        <v>45959.7023554977</v>
      </c>
      <c r="B12" s="0" t="s">
        <v>149</v>
      </c>
      <c r="C12" s="0" t="s">
        <v>20</v>
      </c>
      <c r="D12" s="0" t="s">
        <v>168</v>
      </c>
      <c r="E12" s="0" t="s">
        <v>165</v>
      </c>
      <c r="F12" s="0" t="s">
        <v>161</v>
      </c>
      <c r="G12" s="0" t="s">
        <v>166</v>
      </c>
      <c r="H12" s="0" t="str">
        <f aca="false">IF(A12="","",IFERROR(CHOOSE(SUMPRODUCT((A12&gt;=Calendari!$B$2:$B$6)*(A12&lt;=Calendari!$C$2:$C$6)*{1,2,3,4,5}),"P1","P2","P3","P4","P5"),""))</f>
        <v/>
      </c>
      <c r="I12" s="0" t="n">
        <f aca="false">IF(F12="",0,IFERROR(VALUE(LEFT(TRIM(F12),FIND(" ",TRIM(F12))-1)),0))</f>
        <v>0</v>
      </c>
    </row>
    <row r="13" customFormat="false" ht="22.5" hidden="false" customHeight="true" outlineLevel="0" collapsed="false">
      <c r="A13" s="0" t="n">
        <v>45971.8089429977</v>
      </c>
      <c r="B13" s="0" t="s">
        <v>156</v>
      </c>
      <c r="C13" s="0" t="s">
        <v>21</v>
      </c>
      <c r="D13" s="0" t="s">
        <v>169</v>
      </c>
      <c r="E13" s="0" t="s">
        <v>151</v>
      </c>
      <c r="F13" s="0" t="s">
        <v>159</v>
      </c>
      <c r="G13" s="0" t="s">
        <v>170</v>
      </c>
      <c r="H13" s="0" t="str">
        <f aca="false">IF(A13="","",IFERROR(CHOOSE(SUMPRODUCT((A13&gt;=Calendari!$B$2:$B$6)*(A13&lt;=Calendari!$C$2:$C$6)*{1,2,3,4,5}),"P1","P2","P3","P4","P5"),""))</f>
        <v/>
      </c>
      <c r="I13" s="0" t="n">
        <f aca="false">IF(F13="",0,IFERROR(VALUE(LEFT(TRIM(F13),FIND(" ",TRIM(F13))-1)),0))</f>
        <v>-1</v>
      </c>
    </row>
    <row r="14" customFormat="false" ht="22.5" hidden="false" customHeight="true" outlineLevel="0" collapsed="false">
      <c r="A14" s="0" t="n">
        <v>45971.809215706</v>
      </c>
      <c r="B14" s="0" t="s">
        <v>156</v>
      </c>
      <c r="C14" s="0" t="s">
        <v>21</v>
      </c>
      <c r="D14" s="0" t="s">
        <v>154</v>
      </c>
      <c r="E14" s="0" t="s">
        <v>151</v>
      </c>
      <c r="F14" s="0" t="s">
        <v>159</v>
      </c>
      <c r="G14" s="0" t="s">
        <v>171</v>
      </c>
      <c r="H14" s="0" t="str">
        <f aca="false">IF(A14="","",IFERROR(CHOOSE(SUMPRODUCT((A14&gt;=Calendari!$B$2:$B$6)*(A14&lt;=Calendari!$C$2:$C$6)*{1,2,3,4,5}),"P1","P2","P3","P4","P5"),""))</f>
        <v/>
      </c>
      <c r="I14" s="0" t="n">
        <f aca="false">IF(F14="",0,IFERROR(VALUE(LEFT(TRIM(F14),FIND(" ",TRIM(F14))-1)),0))</f>
        <v>-1</v>
      </c>
    </row>
    <row r="15" customFormat="false" ht="22.5" hidden="false" customHeight="true" outlineLevel="0" collapsed="false">
      <c r="A15" s="0" t="n">
        <v>45971.8096440972</v>
      </c>
      <c r="B15" s="0" t="s">
        <v>156</v>
      </c>
      <c r="C15" s="0" t="s">
        <v>21</v>
      </c>
      <c r="D15" s="0" t="s">
        <v>155</v>
      </c>
      <c r="E15" s="0" t="s">
        <v>151</v>
      </c>
      <c r="F15" s="0" t="s">
        <v>159</v>
      </c>
      <c r="G15" s="0" t="s">
        <v>171</v>
      </c>
      <c r="H15" s="0" t="str">
        <f aca="false">IF(A15="","",IFERROR(CHOOSE(SUMPRODUCT((A15&gt;=Calendari!$B$2:$B$6)*(A15&lt;=Calendari!$C$2:$C$6)*{1,2,3,4,5}),"P1","P2","P3","P4","P5"),""))</f>
        <v/>
      </c>
      <c r="I15" s="0" t="n">
        <f aca="false">IF(F15="",0,IFERROR(VALUE(LEFT(TRIM(F15),FIND(" ",TRIM(F15))-1)),0))</f>
        <v>-1</v>
      </c>
    </row>
    <row r="16" customFormat="false" ht="22.5" hidden="false" customHeight="true" outlineLevel="0" collapsed="false">
      <c r="A16" s="0" t="n">
        <v>45971.8150884028</v>
      </c>
      <c r="B16" s="0" t="s">
        <v>156</v>
      </c>
      <c r="C16" s="0" t="s">
        <v>21</v>
      </c>
      <c r="D16" s="0" t="s">
        <v>172</v>
      </c>
      <c r="E16" s="0" t="s">
        <v>151</v>
      </c>
      <c r="F16" s="0" t="s">
        <v>159</v>
      </c>
      <c r="G16" s="0" t="s">
        <v>171</v>
      </c>
      <c r="H16" s="0" t="str">
        <f aca="false">IF(A16="","",IFERROR(CHOOSE(SUMPRODUCT((A16&gt;=Calendari!$B$2:$B$6)*(A16&lt;=Calendari!$C$2:$C$6)*{1,2,3,4,5}),"P1","P2","P3","P4","P5"),""))</f>
        <v/>
      </c>
      <c r="I16" s="0" t="n">
        <f aca="false">IF(F16="",0,IFERROR(VALUE(LEFT(TRIM(F16),FIND(" ",TRIM(F16))-1)),0))</f>
        <v>-1</v>
      </c>
    </row>
    <row r="17" customFormat="false" ht="22.5" hidden="false" customHeight="true" outlineLevel="0" collapsed="false">
      <c r="A17" s="0" t="n">
        <v>45971.8174040278</v>
      </c>
      <c r="B17" s="0" t="s">
        <v>156</v>
      </c>
      <c r="C17" s="0" t="s">
        <v>21</v>
      </c>
      <c r="D17" s="0" t="s">
        <v>167</v>
      </c>
      <c r="E17" s="0" t="s">
        <v>151</v>
      </c>
      <c r="F17" s="0" t="s">
        <v>159</v>
      </c>
      <c r="G17" s="0" t="s">
        <v>173</v>
      </c>
      <c r="H17" s="0" t="str">
        <f aca="false">IF(A17="","",IFERROR(CHOOSE(SUMPRODUCT((A17&gt;=Calendari!$B$2:$B$6)*(A17&lt;=Calendari!$C$2:$C$6)*{1,2,3,4,5}),"P1","P2","P3","P4","P5"),""))</f>
        <v/>
      </c>
      <c r="I17" s="0" t="n">
        <f aca="false">IF(F17="",0,IFERROR(VALUE(LEFT(TRIM(F17),FIND(" ",TRIM(F17))-1)),0))</f>
        <v>-1</v>
      </c>
    </row>
    <row r="18" customFormat="false" ht="22.5" hidden="false" customHeight="true" outlineLevel="0" collapsed="false">
      <c r="A18" s="0" t="n">
        <v>45971.8180899537</v>
      </c>
      <c r="B18" s="0" t="s">
        <v>156</v>
      </c>
      <c r="C18" s="0" t="s">
        <v>21</v>
      </c>
      <c r="D18" s="0" t="s">
        <v>174</v>
      </c>
      <c r="E18" s="0" t="s">
        <v>151</v>
      </c>
      <c r="F18" s="0" t="s">
        <v>159</v>
      </c>
      <c r="G18" s="0" t="s">
        <v>171</v>
      </c>
      <c r="H18" s="0" t="str">
        <f aca="false">IF(A18="","",IFERROR(CHOOSE(SUMPRODUCT((A18&gt;=Calendari!$B$2:$B$6)*(A18&lt;=Calendari!$C$2:$C$6)*{1,2,3,4,5}),"P1","P2","P3","P4","P5"),""))</f>
        <v/>
      </c>
      <c r="I18" s="0" t="n">
        <f aca="false">IF(F18="",0,IFERROR(VALUE(LEFT(TRIM(F18),FIND(" ",TRIM(F18))-1)),0))</f>
        <v>-1</v>
      </c>
    </row>
    <row r="19" customFormat="false" ht="22.5" hidden="false" customHeight="true" outlineLevel="0" collapsed="false">
      <c r="A19" s="0" t="n">
        <v>45971.8188979745</v>
      </c>
      <c r="B19" s="0" t="s">
        <v>156</v>
      </c>
      <c r="C19" s="0" t="s">
        <v>21</v>
      </c>
      <c r="D19" s="0" t="s">
        <v>175</v>
      </c>
      <c r="E19" s="0" t="s">
        <v>151</v>
      </c>
      <c r="F19" s="0" t="s">
        <v>159</v>
      </c>
      <c r="G19" s="0" t="s">
        <v>176</v>
      </c>
      <c r="H19" s="0" t="str">
        <f aca="false">IF(A19="","",IFERROR(CHOOSE(SUMPRODUCT((A19&gt;=Calendari!$B$2:$B$6)*(A19&lt;=Calendari!$C$2:$C$6)*{1,2,3,4,5}),"P1","P2","P3","P4","P5"),""))</f>
        <v/>
      </c>
      <c r="I19" s="0" t="n">
        <f aca="false">IF(F19="",0,IFERROR(VALUE(LEFT(TRIM(F19),FIND(" ",TRIM(F19))-1)),0))</f>
        <v>-1</v>
      </c>
    </row>
    <row r="20" customFormat="false" ht="22.5" hidden="false" customHeight="true" outlineLevel="0" collapsed="false">
      <c r="A20" s="0" t="n">
        <v>45971.82162625</v>
      </c>
      <c r="B20" s="0" t="s">
        <v>156</v>
      </c>
      <c r="C20" s="0" t="s">
        <v>21</v>
      </c>
      <c r="D20" s="0" t="s">
        <v>164</v>
      </c>
      <c r="E20" s="0" t="s">
        <v>151</v>
      </c>
      <c r="F20" s="0" t="s">
        <v>159</v>
      </c>
      <c r="G20" s="0" t="s">
        <v>171</v>
      </c>
      <c r="H20" s="0" t="str">
        <f aca="false">IF(A20="","",IFERROR(CHOOSE(SUMPRODUCT((A20&gt;=Calendari!$B$2:$B$6)*(A20&lt;=Calendari!$C$2:$C$6)*{1,2,3,4,5}),"P1","P2","P3","P4","P5"),""))</f>
        <v/>
      </c>
      <c r="I20" s="0" t="n">
        <f aca="false">IF(F20="",0,IFERROR(VALUE(LEFT(TRIM(F20),FIND(" ",TRIM(F20))-1)),0))</f>
        <v>-1</v>
      </c>
    </row>
    <row r="21" customFormat="false" ht="22.5" hidden="false" customHeight="true" outlineLevel="0" collapsed="false">
      <c r="A21" s="0" t="n">
        <v>45971.8259775232</v>
      </c>
      <c r="B21" s="0" t="s">
        <v>156</v>
      </c>
      <c r="C21" s="0" t="s">
        <v>21</v>
      </c>
      <c r="D21" s="0" t="s">
        <v>150</v>
      </c>
      <c r="E21" s="0" t="s">
        <v>151</v>
      </c>
      <c r="F21" s="0" t="s">
        <v>159</v>
      </c>
      <c r="G21" s="0" t="s">
        <v>177</v>
      </c>
      <c r="H21" s="0" t="str">
        <f aca="false">IF(A21="","",IFERROR(CHOOSE(SUMPRODUCT((A21&gt;=Calendari!$B$2:$B$6)*(A21&lt;=Calendari!$C$2:$C$6)*{1,2,3,4,5}),"P1","P2","P3","P4","P5"),""))</f>
        <v/>
      </c>
      <c r="I21" s="0" t="n">
        <f aca="false">IF(F21="",0,IFERROR(VALUE(LEFT(TRIM(F21),FIND(" ",TRIM(F21))-1)),0))</f>
        <v>-1</v>
      </c>
    </row>
    <row r="22" customFormat="false" ht="22.5" hidden="false" customHeight="true" outlineLevel="0" collapsed="false">
      <c r="A22" s="0" t="n">
        <v>45971.8298489815</v>
      </c>
      <c r="B22" s="0" t="s">
        <v>156</v>
      </c>
      <c r="C22" s="0" t="s">
        <v>21</v>
      </c>
      <c r="D22" s="0" t="s">
        <v>167</v>
      </c>
      <c r="E22" s="0" t="s">
        <v>151</v>
      </c>
      <c r="F22" s="0" t="s">
        <v>159</v>
      </c>
      <c r="G22" s="0" t="s">
        <v>170</v>
      </c>
      <c r="H22" s="0" t="str">
        <f aca="false">IF(A22="","",IFERROR(CHOOSE(SUMPRODUCT((A22&gt;=Calendari!$B$2:$B$6)*(A22&lt;=Calendari!$C$2:$C$6)*{1,2,3,4,5}),"P1","P2","P3","P4","P5"),""))</f>
        <v/>
      </c>
      <c r="I22" s="0" t="n">
        <f aca="false">IF(F22="",0,IFERROR(VALUE(LEFT(TRIM(F22),FIND(" ",TRIM(F22))-1)),0))</f>
        <v>-1</v>
      </c>
    </row>
    <row r="23" customFormat="false" ht="22.5" hidden="false" customHeight="true" outlineLevel="0" collapsed="false">
      <c r="A23" s="0" t="n">
        <v>45975.5474232755</v>
      </c>
      <c r="B23" s="0" t="s">
        <v>156</v>
      </c>
      <c r="C23" s="0" t="s">
        <v>21</v>
      </c>
      <c r="D23" s="0" t="s">
        <v>178</v>
      </c>
      <c r="E23" s="0" t="s">
        <v>151</v>
      </c>
      <c r="F23" s="0" t="s">
        <v>152</v>
      </c>
      <c r="G23" s="0" t="s">
        <v>179</v>
      </c>
      <c r="H23" s="0" t="str">
        <f aca="false">IF(A23="","",IFERROR(CHOOSE(SUMPRODUCT((A23&gt;=Calendari!$B$2:$B$6)*(A23&lt;=Calendari!$C$2:$C$6)*{1,2,3,4,5}),"P1","P2","P3","P4","P5"),""))</f>
        <v/>
      </c>
      <c r="I23" s="0" t="n">
        <f aca="false">IF(F23="",0,IFERROR(VALUE(LEFT(TRIM(F23),FIND(" ",TRIM(F23))-1)),0))</f>
        <v>2</v>
      </c>
    </row>
    <row r="24" customFormat="false" ht="22.5" hidden="false" customHeight="true" outlineLevel="0" collapsed="false">
      <c r="A24" s="0" t="n">
        <v>45975.5483247107</v>
      </c>
      <c r="B24" s="0" t="s">
        <v>156</v>
      </c>
      <c r="C24" s="0" t="s">
        <v>21</v>
      </c>
      <c r="D24" s="0" t="s">
        <v>180</v>
      </c>
      <c r="E24" s="0" t="s">
        <v>165</v>
      </c>
      <c r="F24" s="0" t="s">
        <v>159</v>
      </c>
      <c r="G24" s="0" t="s">
        <v>181</v>
      </c>
      <c r="H24" s="0" t="str">
        <f aca="false">IF(A24="","",IFERROR(CHOOSE(SUMPRODUCT((A24&gt;=Calendari!$B$2:$B$6)*(A24&lt;=Calendari!$C$2:$C$6)*{1,2,3,4,5}),"P1","P2","P3","P4","P5"),""))</f>
        <v/>
      </c>
      <c r="I24" s="0" t="n">
        <f aca="false">IF(F24="",0,IFERROR(VALUE(LEFT(TRIM(F24),FIND(" ",TRIM(F24))-1)),0))</f>
        <v>-1</v>
      </c>
    </row>
    <row r="25" customFormat="false" ht="22.5" hidden="false" customHeight="true" outlineLevel="0" collapsed="false">
      <c r="A25" s="0" t="n">
        <v>45975.5498308796</v>
      </c>
      <c r="B25" s="0" t="s">
        <v>156</v>
      </c>
      <c r="C25" s="0" t="s">
        <v>21</v>
      </c>
      <c r="D25" s="0" t="s">
        <v>168</v>
      </c>
      <c r="E25" s="0" t="s">
        <v>158</v>
      </c>
      <c r="F25" s="0" t="s">
        <v>152</v>
      </c>
      <c r="G25" s="0" t="s">
        <v>182</v>
      </c>
      <c r="H25" s="0" t="str">
        <f aca="false">IF(A25="","",IFERROR(CHOOSE(SUMPRODUCT((A25&gt;=Calendari!$B$2:$B$6)*(A25&lt;=Calendari!$C$2:$C$6)*{1,2,3,4,5}),"P1","P2","P3","P4","P5"),""))</f>
        <v/>
      </c>
      <c r="I25" s="0" t="n">
        <f aca="false">IF(F25="",0,IFERROR(VALUE(LEFT(TRIM(F25),FIND(" ",TRIM(F25))-1)),0))</f>
        <v>2</v>
      </c>
    </row>
    <row r="26" customFormat="false" ht="22.5" hidden="false" customHeight="true" outlineLevel="0" collapsed="false">
      <c r="A26" s="0" t="n">
        <v>45978.8137710648</v>
      </c>
      <c r="B26" s="0" t="s">
        <v>156</v>
      </c>
      <c r="C26" s="0" t="s">
        <v>21</v>
      </c>
      <c r="D26" s="0" t="s">
        <v>168</v>
      </c>
      <c r="E26" s="0" t="s">
        <v>183</v>
      </c>
      <c r="F26" s="0" t="s">
        <v>152</v>
      </c>
      <c r="G26" s="0" t="s">
        <v>184</v>
      </c>
      <c r="H26" s="0" t="str">
        <f aca="false">IF(A26="","",IFERROR(CHOOSE(SUMPRODUCT((A26&gt;=Calendari!$B$2:$B$6)*(A26&lt;=Calendari!$C$2:$C$6)*{1,2,3,4,5}),"P1","P2","P3","P4","P5"),""))</f>
        <v/>
      </c>
      <c r="I26" s="0" t="n">
        <f aca="false">IF(F26="",0,IFERROR(VALUE(LEFT(TRIM(F26),FIND(" ",TRIM(F26))-1)),0))</f>
        <v>2</v>
      </c>
    </row>
    <row r="27" customFormat="false" ht="22.5" hidden="false" customHeight="true" outlineLevel="0" collapsed="false">
      <c r="A27" s="0" t="n">
        <v>45980.652422882</v>
      </c>
      <c r="B27" s="0" t="s">
        <v>149</v>
      </c>
      <c r="C27" s="0" t="s">
        <v>20</v>
      </c>
      <c r="D27" s="0" t="s">
        <v>163</v>
      </c>
      <c r="E27" s="0" t="s">
        <v>151</v>
      </c>
      <c r="F27" s="0" t="s">
        <v>159</v>
      </c>
      <c r="G27" s="0" t="s">
        <v>185</v>
      </c>
      <c r="H27" s="0" t="str">
        <f aca="false">IF(A27="","",IFERROR(CHOOSE(SUMPRODUCT((A27&gt;=Calendari!$B$2:$B$6)*(A27&lt;=Calendari!$C$2:$C$6)*{1,2,3,4,5}),"P1","P2","P3","P4","P5"),""))</f>
        <v/>
      </c>
      <c r="I27" s="0" t="n">
        <f aca="false">IF(F27="",0,IFERROR(VALUE(LEFT(TRIM(F27),FIND(" ",TRIM(F27))-1)),0))</f>
        <v>-1</v>
      </c>
    </row>
    <row r="28" customFormat="false" ht="22.5" hidden="false" customHeight="true" outlineLevel="0" collapsed="false">
      <c r="A28" s="0" t="n">
        <v>45981.7319339468</v>
      </c>
      <c r="B28" s="0" t="s">
        <v>149</v>
      </c>
      <c r="C28" s="0" t="s">
        <v>20</v>
      </c>
      <c r="D28" s="0" t="s">
        <v>163</v>
      </c>
      <c r="E28" s="0" t="s">
        <v>151</v>
      </c>
      <c r="F28" s="0" t="s">
        <v>159</v>
      </c>
      <c r="G28" s="0" t="s">
        <v>186</v>
      </c>
      <c r="H28" s="0" t="str">
        <f aca="false">IF(A28="","",IFERROR(CHOOSE(SUMPRODUCT((A28&gt;=Calendari!$B$2:$B$6)*(A28&lt;=Calendari!$C$2:$C$6)*{1,2,3,4,5}),"P1","P2","P3","P4","P5"),""))</f>
        <v/>
      </c>
      <c r="I28" s="0" t="n">
        <f aca="false">IF(F28="",0,IFERROR(VALUE(LEFT(TRIM(F28),FIND(" ",TRIM(F28))-1)),0))</f>
        <v>-1</v>
      </c>
    </row>
    <row r="29" customFormat="false" ht="22.5" hidden="false" customHeight="true" outlineLevel="0" collapsed="false">
      <c r="A29" s="0" t="n">
        <v>45984.8445108796</v>
      </c>
      <c r="B29" s="0" t="s">
        <v>156</v>
      </c>
      <c r="C29" s="0" t="s">
        <v>21</v>
      </c>
      <c r="D29" s="0" t="s">
        <v>187</v>
      </c>
      <c r="E29" s="0" t="s">
        <v>158</v>
      </c>
      <c r="F29" s="0" t="s">
        <v>152</v>
      </c>
      <c r="G29" s="0" t="s">
        <v>188</v>
      </c>
      <c r="H29" s="0" t="str">
        <f aca="false">IF(A29="","",IFERROR(CHOOSE(SUMPRODUCT((A29&gt;=Calendari!$B$2:$B$6)*(A29&lt;=Calendari!$C$2:$C$6)*{1,2,3,4,5}),"P1","P2","P3","P4","P5"),""))</f>
        <v/>
      </c>
      <c r="I29" s="0" t="n">
        <f aca="false">IF(F29="",0,IFERROR(VALUE(LEFT(TRIM(F29),FIND(" ",TRIM(F29))-1)),0))</f>
        <v>2</v>
      </c>
    </row>
    <row r="30" customFormat="false" ht="22.5" hidden="false" customHeight="true" outlineLevel="0" collapsed="false">
      <c r="A30" s="0" t="n">
        <v>45988.8251111806</v>
      </c>
      <c r="B30" s="0" t="s">
        <v>156</v>
      </c>
      <c r="C30" s="0" t="s">
        <v>21</v>
      </c>
      <c r="D30" s="0" t="s">
        <v>189</v>
      </c>
      <c r="E30" s="0" t="s">
        <v>158</v>
      </c>
      <c r="F30" s="0" t="s">
        <v>190</v>
      </c>
      <c r="G30" s="0" t="s">
        <v>191</v>
      </c>
      <c r="H30" s="0" t="str">
        <f aca="false">IF(A30="","",IFERROR(CHOOSE(SUMPRODUCT((A30&gt;=Calendari!$B$2:$B$6)*(A30&lt;=Calendari!$C$2:$C$6)*{1,2,3,4,5}),"P1","P2","P3","P4","P5"),""))</f>
        <v/>
      </c>
      <c r="I30" s="0" t="n">
        <f aca="false">IF(F30="",0,IFERROR(VALUE(LEFT(TRIM(F30),FIND(" ",TRIM(F30))-1)),0))</f>
        <v>1</v>
      </c>
    </row>
    <row r="31" customFormat="false" ht="22.5" hidden="false" customHeight="true" outlineLevel="0" collapsed="false">
      <c r="A31" s="0" t="n">
        <v>46002.8209410764</v>
      </c>
      <c r="B31" s="0" t="s">
        <v>156</v>
      </c>
      <c r="C31" s="0" t="s">
        <v>21</v>
      </c>
      <c r="D31" s="0" t="s">
        <v>187</v>
      </c>
      <c r="E31" s="0" t="s">
        <v>151</v>
      </c>
      <c r="F31" s="0" t="s">
        <v>159</v>
      </c>
      <c r="G31" s="0" t="s">
        <v>192</v>
      </c>
      <c r="H31" s="0" t="str">
        <f aca="false">IF(A31="","",IFERROR(CHOOSE(SUMPRODUCT((A31&gt;=Calendari!$B$2:$B$6)*(A31&lt;=Calendari!$C$2:$C$6)*{1,2,3,4,5}),"P1","P2","P3","P4","P5"),""))</f>
        <v/>
      </c>
      <c r="I31" s="0" t="n">
        <f aca="false">IF(F31="",0,IFERROR(VALUE(LEFT(TRIM(F31),FIND(" ",TRIM(F31))-1)),0))</f>
        <v>-1</v>
      </c>
    </row>
    <row r="32" customFormat="false" ht="22.5" hidden="false" customHeight="true" outlineLevel="0" collapsed="false">
      <c r="A32" s="0" t="n">
        <v>46002.8215521991</v>
      </c>
      <c r="B32" s="0" t="s">
        <v>156</v>
      </c>
      <c r="C32" s="0" t="s">
        <v>21</v>
      </c>
      <c r="D32" s="0" t="s">
        <v>154</v>
      </c>
      <c r="E32" s="0" t="s">
        <v>183</v>
      </c>
      <c r="F32" s="0" t="s">
        <v>152</v>
      </c>
      <c r="G32" s="0" t="s">
        <v>193</v>
      </c>
      <c r="H32" s="0" t="str">
        <f aca="false">IF(A32="","",IFERROR(CHOOSE(SUMPRODUCT((A32&gt;=Calendari!$B$2:$B$6)*(A32&lt;=Calendari!$C$2:$C$6)*{1,2,3,4,5}),"P1","P2","P3","P4","P5"),""))</f>
        <v/>
      </c>
      <c r="I32" s="0" t="n">
        <f aca="false">IF(F32="",0,IFERROR(VALUE(LEFT(TRIM(F32),FIND(" ",TRIM(F32))-1)),0))</f>
        <v>2</v>
      </c>
    </row>
    <row r="33" customFormat="false" ht="15.75" hidden="false" customHeight="false" outlineLevel="0" collapsed="false">
      <c r="H33" s="0" t="str">
        <f aca="false">IF(A33="","",IFERROR(CHOOSE(SUMPRODUCT((A33&gt;=Calendari!$B$2:$B$6)*(A33&lt;=Calendari!$C$2:$C$6)*{1,2,3,4,5}),"P1","P2","P3","P4","P5"),""))</f>
        <v/>
      </c>
      <c r="I33" s="0" t="n">
        <f aca="false">IF(F33="",0,IFERROR(VALUE(LEFT(TRIM(F33),FIND(" ",TRIM(F33))-1)),0))</f>
        <v>0</v>
      </c>
    </row>
    <row r="34" customFormat="false" ht="15.75" hidden="false" customHeight="false" outlineLevel="0" collapsed="false">
      <c r="H34" s="0" t="str">
        <f aca="false">IF(A34="","",IFERROR(CHOOSE(SUMPRODUCT((A34&gt;=Calendari!$B$2:$B$6)*(A34&lt;=Calendari!$C$2:$C$6)*{1,2,3,4,5}),"P1","P2","P3","P4","P5"),""))</f>
        <v/>
      </c>
      <c r="I34" s="0" t="n">
        <f aca="false">IF(F34="",0,IFERROR(VALUE(LEFT(TRIM(F34),FIND(" ",TRIM(F34))-1)),0))</f>
        <v>0</v>
      </c>
    </row>
    <row r="35" customFormat="false" ht="15.75" hidden="false" customHeight="false" outlineLevel="0" collapsed="false">
      <c r="H35" s="0" t="str">
        <f aca="false">IF(A35="","",IFERROR(CHOOSE(SUMPRODUCT((A35&gt;=Calendari!$B$2:$B$6)*(A35&lt;=Calendari!$C$2:$C$6)*{1,2,3,4,5}),"P1","P2","P3","P4","P5"),""))</f>
        <v/>
      </c>
      <c r="I35" s="0" t="n">
        <f aca="false">IF(F35="",0,IFERROR(VALUE(LEFT(TRIM(F35),FIND(" ",TRIM(F35))-1)),0))</f>
        <v>0</v>
      </c>
    </row>
    <row r="36" customFormat="false" ht="15.75" hidden="false" customHeight="false" outlineLevel="0" collapsed="false">
      <c r="H36" s="0" t="str">
        <f aca="false">IF(A36="","",IFERROR(CHOOSE(SUMPRODUCT((A36&gt;=Calendari!$B$2:$B$6)*(A36&lt;=Calendari!$C$2:$C$6)*{1,2,3,4,5}),"P1","P2","P3","P4","P5"),""))</f>
        <v/>
      </c>
      <c r="I36" s="0" t="n">
        <f aca="false">IF(F36="",0,IFERROR(VALUE(LEFT(TRIM(F36),FIND(" ",TRIM(F36))-1)),0))</f>
        <v>0</v>
      </c>
    </row>
    <row r="37" customFormat="false" ht="15.75" hidden="false" customHeight="false" outlineLevel="0" collapsed="false">
      <c r="H37" s="0" t="str">
        <f aca="false">IF(A37="","",IFERROR(CHOOSE(SUMPRODUCT((A37&gt;=Calendari!$B$2:$B$6)*(A37&lt;=Calendari!$C$2:$C$6)*{1,2,3,4,5}),"P1","P2","P3","P4","P5"),""))</f>
        <v/>
      </c>
      <c r="I37" s="0" t="n">
        <f aca="false">IF(F37="",0,IFERROR(VALUE(LEFT(TRIM(F37),FIND(" ",TRIM(F37))-1)),0))</f>
        <v>0</v>
      </c>
    </row>
    <row r="38" customFormat="false" ht="15.75" hidden="false" customHeight="false" outlineLevel="0" collapsed="false">
      <c r="H38" s="0" t="str">
        <f aca="false">IF(A38="","",IFERROR(CHOOSE(SUMPRODUCT((A38&gt;=Calendari!$B$2:$B$6)*(A38&lt;=Calendari!$C$2:$C$6)*{1,2,3,4,5}),"P1","P2","P3","P4","P5"),""))</f>
        <v/>
      </c>
      <c r="I38" s="0" t="n">
        <f aca="false">IF(F38="",0,IFERROR(VALUE(LEFT(TRIM(F38),FIND(" ",TRIM(F38))-1)),0))</f>
        <v>0</v>
      </c>
    </row>
    <row r="39" customFormat="false" ht="15.75" hidden="false" customHeight="false" outlineLevel="0" collapsed="false">
      <c r="H39" s="0" t="str">
        <f aca="false">IF(A39="","",IFERROR(CHOOSE(SUMPRODUCT((A39&gt;=Calendari!$B$2:$B$6)*(A39&lt;=Calendari!$C$2:$C$6)*{1,2,3,4,5}),"P1","P2","P3","P4","P5"),""))</f>
        <v/>
      </c>
      <c r="I39" s="0" t="n">
        <f aca="false">IF(F39="",0,IFERROR(VALUE(LEFT(TRIM(F39),FIND(" ",TRIM(F39))-1)),0))</f>
        <v>0</v>
      </c>
    </row>
    <row r="40" customFormat="false" ht="15.75" hidden="false" customHeight="false" outlineLevel="0" collapsed="false">
      <c r="H40" s="0" t="str">
        <f aca="false">IF(A40="","",IFERROR(CHOOSE(SUMPRODUCT((A40&gt;=Calendari!$B$2:$B$6)*(A40&lt;=Calendari!$C$2:$C$6)*{1,2,3,4,5}),"P1","P2","P3","P4","P5"),""))</f>
        <v/>
      </c>
      <c r="I40" s="0" t="n">
        <f aca="false">IF(F40="",0,IFERROR(VALUE(LEFT(TRIM(F40),FIND(" ",TRIM(F40))-1)),0))</f>
        <v>0</v>
      </c>
    </row>
    <row r="41" customFormat="false" ht="15.75" hidden="false" customHeight="false" outlineLevel="0" collapsed="false">
      <c r="H41" s="0" t="str">
        <f aca="false">IF(A41="","",IFERROR(CHOOSE(SUMPRODUCT((A41&gt;=Calendari!$B$2:$B$6)*(A41&lt;=Calendari!$C$2:$C$6)*{1,2,3,4,5}),"P1","P2","P3","P4","P5"),""))</f>
        <v/>
      </c>
      <c r="I41" s="0" t="n">
        <f aca="false">IF(F41="",0,IFERROR(VALUE(LEFT(TRIM(F41),FIND(" ",TRIM(F41))-1)),0))</f>
        <v>0</v>
      </c>
    </row>
    <row r="42" customFormat="false" ht="15.75" hidden="false" customHeight="false" outlineLevel="0" collapsed="false">
      <c r="H42" s="0" t="str">
        <f aca="false">IF(A42="","",IFERROR(CHOOSE(SUMPRODUCT((A42&gt;=Calendari!$B$2:$B$6)*(A42&lt;=Calendari!$C$2:$C$6)*{1,2,3,4,5}),"P1","P2","P3","P4","P5"),""))</f>
        <v/>
      </c>
      <c r="I42" s="0" t="n">
        <f aca="false">IF(F42="",0,IFERROR(VALUE(LEFT(TRIM(F42),FIND(" ",TRIM(F42))-1)),0))</f>
        <v>0</v>
      </c>
    </row>
    <row r="43" customFormat="false" ht="15.75" hidden="false" customHeight="false" outlineLevel="0" collapsed="false">
      <c r="H43" s="0" t="str">
        <f aca="false">IF(A43="","",IFERROR(CHOOSE(SUMPRODUCT((A43&gt;=Calendari!$B$2:$B$6)*(A43&lt;=Calendari!$C$2:$C$6)*{1,2,3,4,5}),"P1","P2","P3","P4","P5"),""))</f>
        <v/>
      </c>
      <c r="I43" s="0" t="n">
        <f aca="false">IF(F43="",0,IFERROR(VALUE(LEFT(TRIM(F43),FIND(" ",TRIM(F43))-1)),0))</f>
        <v>0</v>
      </c>
    </row>
    <row r="44" customFormat="false" ht="15.75" hidden="false" customHeight="false" outlineLevel="0" collapsed="false">
      <c r="H44" s="0" t="str">
        <f aca="false">IF(A44="","",IFERROR(CHOOSE(SUMPRODUCT((A44&gt;=Calendari!$B$2:$B$6)*(A44&lt;=Calendari!$C$2:$C$6)*{1,2,3,4,5}),"P1","P2","P3","P4","P5"),""))</f>
        <v/>
      </c>
      <c r="I44" s="0" t="n">
        <f aca="false">IF(F44="",0,IFERROR(VALUE(LEFT(TRIM(F44),FIND(" ",TRIM(F44))-1)),0))</f>
        <v>0</v>
      </c>
    </row>
    <row r="45" customFormat="false" ht="15.75" hidden="false" customHeight="false" outlineLevel="0" collapsed="false">
      <c r="H45" s="0" t="str">
        <f aca="false">IF(A45="","",IFERROR(CHOOSE(SUMPRODUCT((A45&gt;=Calendari!$B$2:$B$6)*(A45&lt;=Calendari!$C$2:$C$6)*{1,2,3,4,5}),"P1","P2","P3","P4","P5"),""))</f>
        <v/>
      </c>
      <c r="I45" s="0" t="n">
        <f aca="false">IF(F45="",0,IFERROR(VALUE(LEFT(TRIM(F45),FIND(" ",TRIM(F45))-1)),0))</f>
        <v>0</v>
      </c>
    </row>
    <row r="46" customFormat="false" ht="15.75" hidden="false" customHeight="false" outlineLevel="0" collapsed="false">
      <c r="H46" s="0" t="str">
        <f aca="false">IF(A46="","",IFERROR(CHOOSE(SUMPRODUCT((A46&gt;=Calendari!$B$2:$B$6)*(A46&lt;=Calendari!$C$2:$C$6)*{1,2,3,4,5}),"P1","P2","P3","P4","P5"),""))</f>
        <v/>
      </c>
      <c r="I46" s="0" t="n">
        <f aca="false">IF(F46="",0,IFERROR(VALUE(LEFT(TRIM(F46),FIND(" ",TRIM(F46))-1)),0))</f>
        <v>0</v>
      </c>
    </row>
    <row r="47" customFormat="false" ht="15.75" hidden="false" customHeight="false" outlineLevel="0" collapsed="false">
      <c r="H47" s="0" t="str">
        <f aca="false">IF(A47="","",IFERROR(CHOOSE(SUMPRODUCT((A47&gt;=Calendari!$B$2:$B$6)*(A47&lt;=Calendari!$C$2:$C$6)*{1,2,3,4,5}),"P1","P2","P3","P4","P5"),""))</f>
        <v/>
      </c>
      <c r="I47" s="0" t="n">
        <f aca="false">IF(F47="",0,IFERROR(VALUE(LEFT(TRIM(F47),FIND(" ",TRIM(F47))-1)),0))</f>
        <v>0</v>
      </c>
    </row>
    <row r="48" customFormat="false" ht="15.75" hidden="false" customHeight="false" outlineLevel="0" collapsed="false">
      <c r="H48" s="0" t="str">
        <f aca="false">IF(A48="","",IFERROR(CHOOSE(SUMPRODUCT((A48&gt;=Calendari!$B$2:$B$6)*(A48&lt;=Calendari!$C$2:$C$6)*{1,2,3,4,5}),"P1","P2","P3","P4","P5"),""))</f>
        <v/>
      </c>
      <c r="I48" s="0" t="n">
        <f aca="false">IF(F48="",0,IFERROR(VALUE(LEFT(TRIM(F48),FIND(" ",TRIM(F48))-1)),0))</f>
        <v>0</v>
      </c>
    </row>
    <row r="49" customFormat="false" ht="15.75" hidden="false" customHeight="false" outlineLevel="0" collapsed="false">
      <c r="H49" s="0" t="str">
        <f aca="false">IF(A49="","",IFERROR(CHOOSE(SUMPRODUCT((A49&gt;=Calendari!$B$2:$B$6)*(A49&lt;=Calendari!$C$2:$C$6)*{1,2,3,4,5}),"P1","P2","P3","P4","P5"),""))</f>
        <v/>
      </c>
      <c r="I49" s="0" t="n">
        <f aca="false">IF(F49="",0,IFERROR(VALUE(LEFT(TRIM(F49),FIND(" ",TRIM(F49))-1)),0))</f>
        <v>0</v>
      </c>
    </row>
    <row r="50" customFormat="false" ht="15.75" hidden="false" customHeight="false" outlineLevel="0" collapsed="false">
      <c r="H50" s="0" t="str">
        <f aca="false">IF(A50="","",IFERROR(CHOOSE(SUMPRODUCT((A50&gt;=Calendari!$B$2:$B$6)*(A50&lt;=Calendari!$C$2:$C$6)*{1,2,3,4,5}),"P1","P2","P3","P4","P5"),""))</f>
        <v/>
      </c>
      <c r="I50" s="0" t="n">
        <f aca="false">IF(F50="",0,IFERROR(VALUE(LEFT(TRIM(F50),FIND(" ",TRIM(F50))-1)),0))</f>
        <v>0</v>
      </c>
    </row>
    <row r="51" customFormat="false" ht="15.75" hidden="false" customHeight="false" outlineLevel="0" collapsed="false">
      <c r="H51" s="0" t="str">
        <f aca="false">IF(A51="","",IFERROR(CHOOSE(SUMPRODUCT((A51&gt;=Calendari!$B$2:$B$6)*(A51&lt;=Calendari!$C$2:$C$6)*{1,2,3,4,5}),"P1","P2","P3","P4","P5"),""))</f>
        <v/>
      </c>
      <c r="I51" s="0" t="n">
        <f aca="false">IF(F51="",0,IFERROR(VALUE(LEFT(TRIM(F51),FIND(" ",TRIM(F51))-1)),0))</f>
        <v>0</v>
      </c>
    </row>
    <row r="52" customFormat="false" ht="15.75" hidden="false" customHeight="false" outlineLevel="0" collapsed="false">
      <c r="H52" s="0" t="str">
        <f aca="false">IF(A52="","",IFERROR(CHOOSE(SUMPRODUCT((A52&gt;=Calendari!$B$2:$B$6)*(A52&lt;=Calendari!$C$2:$C$6)*{1,2,3,4,5}),"P1","P2","P3","P4","P5"),""))</f>
        <v/>
      </c>
      <c r="I52" s="0" t="n">
        <f aca="false">IF(F52="",0,IFERROR(VALUE(LEFT(TRIM(F52),FIND(" ",TRIM(F52))-1)),0))</f>
        <v>0</v>
      </c>
    </row>
    <row r="53" customFormat="false" ht="15.75" hidden="false" customHeight="false" outlineLevel="0" collapsed="false">
      <c r="H53" s="0" t="str">
        <f aca="false">IF(A53="","",IFERROR(CHOOSE(SUMPRODUCT((A53&gt;=Calendari!$B$2:$B$6)*(A53&lt;=Calendari!$C$2:$C$6)*{1,2,3,4,5}),"P1","P2","P3","P4","P5"),""))</f>
        <v/>
      </c>
      <c r="I53" s="0" t="n">
        <f aca="false">IF(F53="",0,IFERROR(VALUE(LEFT(TRIM(F53),FIND(" ",TRIM(F53))-1)),0))</f>
        <v>0</v>
      </c>
    </row>
    <row r="54" customFormat="false" ht="15.75" hidden="false" customHeight="false" outlineLevel="0" collapsed="false">
      <c r="H54" s="0" t="str">
        <f aca="false">IF(A54="","",IFERROR(CHOOSE(SUMPRODUCT((A54&gt;=Calendari!$B$2:$B$6)*(A54&lt;=Calendari!$C$2:$C$6)*{1,2,3,4,5}),"P1","P2","P3","P4","P5"),""))</f>
        <v/>
      </c>
      <c r="I54" s="0" t="n">
        <f aca="false">IF(F54="",0,IFERROR(VALUE(LEFT(TRIM(F54),FIND(" ",TRIM(F54))-1)),0))</f>
        <v>0</v>
      </c>
    </row>
    <row r="55" customFormat="false" ht="15.75" hidden="false" customHeight="false" outlineLevel="0" collapsed="false">
      <c r="H55" s="0" t="str">
        <f aca="false">IF(A55="","",IFERROR(CHOOSE(SUMPRODUCT((A55&gt;=Calendari!$B$2:$B$6)*(A55&lt;=Calendari!$C$2:$C$6)*{1,2,3,4,5}),"P1","P2","P3","P4","P5"),""))</f>
        <v/>
      </c>
      <c r="I55" s="0" t="n">
        <f aca="false">IF(F55="",0,IFERROR(VALUE(LEFT(TRIM(F55),FIND(" ",TRIM(F55))-1)),0))</f>
        <v>0</v>
      </c>
    </row>
    <row r="56" customFormat="false" ht="15.75" hidden="false" customHeight="false" outlineLevel="0" collapsed="false">
      <c r="H56" s="0" t="str">
        <f aca="false">IF(A56="","",IFERROR(CHOOSE(SUMPRODUCT((A56&gt;=Calendari!$B$2:$B$6)*(A56&lt;=Calendari!$C$2:$C$6)*{1,2,3,4,5}),"P1","P2","P3","P4","P5"),""))</f>
        <v/>
      </c>
      <c r="I56" s="0" t="n">
        <f aca="false">IF(F56="",0,IFERROR(VALUE(LEFT(TRIM(F56),FIND(" ",TRIM(F56))-1)),0))</f>
        <v>0</v>
      </c>
    </row>
    <row r="57" customFormat="false" ht="15.75" hidden="false" customHeight="false" outlineLevel="0" collapsed="false">
      <c r="H57" s="0" t="str">
        <f aca="false">IF(A57="","",IFERROR(CHOOSE(SUMPRODUCT((A57&gt;=Calendari!$B$2:$B$6)*(A57&lt;=Calendari!$C$2:$C$6)*{1,2,3,4,5}),"P1","P2","P3","P4","P5"),""))</f>
        <v/>
      </c>
      <c r="I57" s="0" t="n">
        <f aca="false">IF(F57="",0,IFERROR(VALUE(LEFT(TRIM(F57),FIND(" ",TRIM(F57))-1)),0))</f>
        <v>0</v>
      </c>
    </row>
    <row r="58" customFormat="false" ht="15.75" hidden="false" customHeight="false" outlineLevel="0" collapsed="false">
      <c r="H58" s="0" t="str">
        <f aca="false">IF(A58="","",IFERROR(CHOOSE(SUMPRODUCT((A58&gt;=Calendari!$B$2:$B$6)*(A58&lt;=Calendari!$C$2:$C$6)*{1,2,3,4,5}),"P1","P2","P3","P4","P5"),""))</f>
        <v/>
      </c>
      <c r="I58" s="0" t="n">
        <f aca="false">IF(F58="",0,IFERROR(VALUE(LEFT(TRIM(F58),FIND(" ",TRIM(F58))-1)),0))</f>
        <v>0</v>
      </c>
    </row>
    <row r="59" customFormat="false" ht="15.75" hidden="false" customHeight="false" outlineLevel="0" collapsed="false">
      <c r="H59" s="0" t="str">
        <f aca="false">IF(A59="","",IFERROR(CHOOSE(SUMPRODUCT((A59&gt;=Calendari!$B$2:$B$6)*(A59&lt;=Calendari!$C$2:$C$6)*{1,2,3,4,5}),"P1","P2","P3","P4","P5"),""))</f>
        <v/>
      </c>
      <c r="I59" s="0" t="n">
        <f aca="false">IF(F59="",0,IFERROR(VALUE(LEFT(TRIM(F59),FIND(" ",TRIM(F59))-1)),0))</f>
        <v>0</v>
      </c>
    </row>
    <row r="60" customFormat="false" ht="15.75" hidden="false" customHeight="false" outlineLevel="0" collapsed="false">
      <c r="H60" s="0" t="str">
        <f aca="false">IF(A60="","",IFERROR(CHOOSE(SUMPRODUCT((A60&gt;=Calendari!$B$2:$B$6)*(A60&lt;=Calendari!$C$2:$C$6)*{1,2,3,4,5}),"P1","P2","P3","P4","P5"),""))</f>
        <v/>
      </c>
      <c r="I60" s="0" t="n">
        <f aca="false">IF(F60="",0,IFERROR(VALUE(LEFT(TRIM(F60),FIND(" ",TRIM(F60))-1)),0))</f>
        <v>0</v>
      </c>
    </row>
    <row r="61" customFormat="false" ht="15.75" hidden="false" customHeight="false" outlineLevel="0" collapsed="false">
      <c r="H61" s="0" t="str">
        <f aca="false">IF(A61="","",IFERROR(CHOOSE(SUMPRODUCT((A61&gt;=Calendari!$B$2:$B$6)*(A61&lt;=Calendari!$C$2:$C$6)*{1,2,3,4,5}),"P1","P2","P3","P4","P5"),""))</f>
        <v/>
      </c>
      <c r="I61" s="0" t="n">
        <f aca="false">IF(F61="",0,IFERROR(VALUE(LEFT(TRIM(F61),FIND(" ",TRIM(F61))-1)),0))</f>
        <v>0</v>
      </c>
    </row>
    <row r="62" customFormat="false" ht="15.75" hidden="false" customHeight="false" outlineLevel="0" collapsed="false">
      <c r="H62" s="0" t="str">
        <f aca="false">IF(A62="","",IFERROR(CHOOSE(SUMPRODUCT((A62&gt;=Calendari!$B$2:$B$6)*(A62&lt;=Calendari!$C$2:$C$6)*{1,2,3,4,5}),"P1","P2","P3","P4","P5"),""))</f>
        <v/>
      </c>
      <c r="I62" s="0" t="n">
        <f aca="false">IF(F62="",0,IFERROR(VALUE(LEFT(TRIM(F62),FIND(" ",TRIM(F62))-1)),0))</f>
        <v>0</v>
      </c>
    </row>
    <row r="63" customFormat="false" ht="15.75" hidden="false" customHeight="false" outlineLevel="0" collapsed="false">
      <c r="H63" s="0" t="str">
        <f aca="false">IF(A63="","",IFERROR(CHOOSE(SUMPRODUCT((A63&gt;=Calendari!$B$2:$B$6)*(A63&lt;=Calendari!$C$2:$C$6)*{1,2,3,4,5}),"P1","P2","P3","P4","P5"),""))</f>
        <v/>
      </c>
      <c r="I63" s="0" t="n">
        <f aca="false">IF(F63="",0,IFERROR(VALUE(LEFT(TRIM(F63),FIND(" ",TRIM(F63))-1)),0))</f>
        <v>0</v>
      </c>
    </row>
    <row r="64" customFormat="false" ht="15.75" hidden="false" customHeight="false" outlineLevel="0" collapsed="false">
      <c r="H64" s="0" t="str">
        <f aca="false">IF(A64="","",IFERROR(CHOOSE(SUMPRODUCT((A64&gt;=Calendari!$B$2:$B$6)*(A64&lt;=Calendari!$C$2:$C$6)*{1,2,3,4,5}),"P1","P2","P3","P4","P5"),""))</f>
        <v/>
      </c>
      <c r="I64" s="0" t="n">
        <f aca="false">IF(F64="",0,IFERROR(VALUE(LEFT(TRIM(F64),FIND(" ",TRIM(F64))-1)),0))</f>
        <v>0</v>
      </c>
    </row>
    <row r="65" customFormat="false" ht="15.75" hidden="false" customHeight="false" outlineLevel="0" collapsed="false">
      <c r="H65" s="0" t="str">
        <f aca="false">IF(A65="","",IFERROR(CHOOSE(SUMPRODUCT((A65&gt;=Calendari!$B$2:$B$6)*(A65&lt;=Calendari!$C$2:$C$6)*{1,2,3,4,5}),"P1","P2","P3","P4","P5"),""))</f>
        <v/>
      </c>
      <c r="I65" s="0" t="n">
        <f aca="false">IF(F65="",0,IFERROR(VALUE(LEFT(TRIM(F65),FIND(" ",TRIM(F65))-1)),0))</f>
        <v>0</v>
      </c>
    </row>
    <row r="66" customFormat="false" ht="15.75" hidden="false" customHeight="false" outlineLevel="0" collapsed="false">
      <c r="H66" s="0" t="str">
        <f aca="false">IF(A66="","",IFERROR(CHOOSE(SUMPRODUCT((A66&gt;=Calendari!$B$2:$B$6)*(A66&lt;=Calendari!$C$2:$C$6)*{1,2,3,4,5}),"P1","P2","P3","P4","P5"),""))</f>
        <v/>
      </c>
      <c r="I66" s="0" t="n">
        <f aca="false">IF(F66="",0,IFERROR(VALUE(LEFT(TRIM(F66),FIND(" ",TRIM(F66))-1)),0))</f>
        <v>0</v>
      </c>
    </row>
    <row r="67" customFormat="false" ht="15.75" hidden="false" customHeight="false" outlineLevel="0" collapsed="false">
      <c r="H67" s="0" t="str">
        <f aca="false">IF(A67="","",IFERROR(CHOOSE(SUMPRODUCT((A67&gt;=Calendari!$B$2:$B$6)*(A67&lt;=Calendari!$C$2:$C$6)*{1,2,3,4,5}),"P1","P2","P3","P4","P5"),""))</f>
        <v/>
      </c>
      <c r="I67" s="0" t="n">
        <f aca="false">IF(F67="",0,IFERROR(VALUE(LEFT(TRIM(F67),FIND(" ",TRIM(F67))-1)),0))</f>
        <v>0</v>
      </c>
    </row>
    <row r="68" customFormat="false" ht="15.75" hidden="false" customHeight="false" outlineLevel="0" collapsed="false">
      <c r="H68" s="0" t="str">
        <f aca="false">IF(A68="","",IFERROR(CHOOSE(SUMPRODUCT((A68&gt;=Calendari!$B$2:$B$6)*(A68&lt;=Calendari!$C$2:$C$6)*{1,2,3,4,5}),"P1","P2","P3","P4","P5"),""))</f>
        <v/>
      </c>
      <c r="I68" s="0" t="n">
        <f aca="false">IF(F68="",0,IFERROR(VALUE(LEFT(TRIM(F68),FIND(" ",TRIM(F68))-1)),0))</f>
        <v>0</v>
      </c>
    </row>
    <row r="69" customFormat="false" ht="15.75" hidden="false" customHeight="false" outlineLevel="0" collapsed="false">
      <c r="H69" s="0" t="str">
        <f aca="false">IF(A69="","",IFERROR(CHOOSE(SUMPRODUCT((A69&gt;=Calendari!$B$2:$B$6)*(A69&lt;=Calendari!$C$2:$C$6)*{1,2,3,4,5}),"P1","P2","P3","P4","P5"),""))</f>
        <v/>
      </c>
      <c r="I69" s="0" t="n">
        <f aca="false">IF(F69="",0,IFERROR(VALUE(LEFT(TRIM(F69),FIND(" ",TRIM(F69))-1)),0))</f>
        <v>0</v>
      </c>
    </row>
    <row r="70" customFormat="false" ht="15.75" hidden="false" customHeight="false" outlineLevel="0" collapsed="false">
      <c r="H70" s="0" t="str">
        <f aca="false">IF(A70="","",IFERROR(CHOOSE(SUMPRODUCT((A70&gt;=Calendari!$B$2:$B$6)*(A70&lt;=Calendari!$C$2:$C$6)*{1,2,3,4,5}),"P1","P2","P3","P4","P5"),""))</f>
        <v/>
      </c>
      <c r="I70" s="0" t="n">
        <f aca="false">IF(F70="",0,IFERROR(VALUE(LEFT(TRIM(F70),FIND(" ",TRIM(F70))-1)),0))</f>
        <v>0</v>
      </c>
    </row>
    <row r="71" customFormat="false" ht="15.75" hidden="false" customHeight="false" outlineLevel="0" collapsed="false">
      <c r="H71" s="0" t="str">
        <f aca="false">IF(A71="","",IFERROR(CHOOSE(SUMPRODUCT((A71&gt;=Calendari!$B$2:$B$6)*(A71&lt;=Calendari!$C$2:$C$6)*{1,2,3,4,5}),"P1","P2","P3","P4","P5"),""))</f>
        <v/>
      </c>
      <c r="I71" s="0" t="n">
        <f aca="false">IF(F71="",0,IFERROR(VALUE(LEFT(TRIM(F71),FIND(" ",TRIM(F71))-1)),0))</f>
        <v>0</v>
      </c>
    </row>
    <row r="72" customFormat="false" ht="15.75" hidden="false" customHeight="false" outlineLevel="0" collapsed="false">
      <c r="H72" s="0" t="str">
        <f aca="false">IF(A72="","",IFERROR(CHOOSE(SUMPRODUCT((A72&gt;=Calendari!$B$2:$B$6)*(A72&lt;=Calendari!$C$2:$C$6)*{1,2,3,4,5}),"P1","P2","P3","P4","P5"),""))</f>
        <v/>
      </c>
      <c r="I72" s="0" t="n">
        <f aca="false">IF(F72="",0,IFERROR(VALUE(LEFT(TRIM(F72),FIND(" ",TRIM(F72))-1)),0))</f>
        <v>0</v>
      </c>
    </row>
    <row r="73" customFormat="false" ht="15.75" hidden="false" customHeight="false" outlineLevel="0" collapsed="false">
      <c r="H73" s="0" t="str">
        <f aca="false">IF(A73="","",IFERROR(CHOOSE(SUMPRODUCT((A73&gt;=Calendari!$B$2:$B$6)*(A73&lt;=Calendari!$C$2:$C$6)*{1,2,3,4,5}),"P1","P2","P3","P4","P5"),""))</f>
        <v/>
      </c>
      <c r="I73" s="0" t="n">
        <f aca="false">IF(F73="",0,IFERROR(VALUE(LEFT(TRIM(F73),FIND(" ",TRIM(F73))-1)),0))</f>
        <v>0</v>
      </c>
    </row>
    <row r="74" customFormat="false" ht="15.75" hidden="false" customHeight="false" outlineLevel="0" collapsed="false">
      <c r="H74" s="0" t="str">
        <f aca="false">IF(A74="","",IFERROR(CHOOSE(SUMPRODUCT((A74&gt;=Calendari!$B$2:$B$6)*(A74&lt;=Calendari!$C$2:$C$6)*{1,2,3,4,5}),"P1","P2","P3","P4","P5"),""))</f>
        <v/>
      </c>
      <c r="I74" s="0" t="n">
        <f aca="false">IF(F74="",0,IFERROR(VALUE(LEFT(TRIM(F74),FIND(" ",TRIM(F74))-1)),0))</f>
        <v>0</v>
      </c>
    </row>
    <row r="75" customFormat="false" ht="15.75" hidden="false" customHeight="false" outlineLevel="0" collapsed="false">
      <c r="H75" s="0" t="str">
        <f aca="false">IF(A75="","",IFERROR(CHOOSE(SUMPRODUCT((A75&gt;=Calendari!$B$2:$B$6)*(A75&lt;=Calendari!$C$2:$C$6)*{1,2,3,4,5}),"P1","P2","P3","P4","P5"),""))</f>
        <v/>
      </c>
      <c r="I75" s="0" t="n">
        <f aca="false">IF(F75="",0,IFERROR(VALUE(LEFT(TRIM(F75),FIND(" ",TRIM(F75))-1)),0))</f>
        <v>0</v>
      </c>
    </row>
    <row r="76" customFormat="false" ht="15.75" hidden="false" customHeight="false" outlineLevel="0" collapsed="false">
      <c r="H76" s="0" t="str">
        <f aca="false">IF(A76="","",IFERROR(CHOOSE(SUMPRODUCT((A76&gt;=Calendari!$B$2:$B$6)*(A76&lt;=Calendari!$C$2:$C$6)*{1,2,3,4,5}),"P1","P2","P3","P4","P5"),""))</f>
        <v/>
      </c>
      <c r="I76" s="0" t="n">
        <f aca="false">IF(F76="",0,IFERROR(VALUE(LEFT(TRIM(F76),FIND(" ",TRIM(F76))-1)),0))</f>
        <v>0</v>
      </c>
    </row>
    <row r="77" customFormat="false" ht="15.75" hidden="false" customHeight="false" outlineLevel="0" collapsed="false">
      <c r="H77" s="0" t="str">
        <f aca="false">IF(A77="","",IFERROR(CHOOSE(SUMPRODUCT((A77&gt;=Calendari!$B$2:$B$6)*(A77&lt;=Calendari!$C$2:$C$6)*{1,2,3,4,5}),"P1","P2","P3","P4","P5"),""))</f>
        <v/>
      </c>
      <c r="I77" s="0" t="n">
        <f aca="false">IF(F77="",0,IFERROR(VALUE(LEFT(TRIM(F77),FIND(" ",TRIM(F77))-1)),0))</f>
        <v>0</v>
      </c>
    </row>
    <row r="78" customFormat="false" ht="15.75" hidden="false" customHeight="false" outlineLevel="0" collapsed="false">
      <c r="H78" s="0" t="str">
        <f aca="false">IF(A78="","",IFERROR(CHOOSE(SUMPRODUCT((A78&gt;=Calendari!$B$2:$B$6)*(A78&lt;=Calendari!$C$2:$C$6)*{1,2,3,4,5}),"P1","P2","P3","P4","P5"),""))</f>
        <v/>
      </c>
      <c r="I78" s="0" t="n">
        <f aca="false">IF(F78="",0,IFERROR(VALUE(LEFT(TRIM(F78),FIND(" ",TRIM(F78))-1)),0))</f>
        <v>0</v>
      </c>
    </row>
    <row r="79" customFormat="false" ht="15.75" hidden="false" customHeight="false" outlineLevel="0" collapsed="false">
      <c r="H79" s="0" t="str">
        <f aca="false">IF(A79="","",IFERROR(CHOOSE(SUMPRODUCT((A79&gt;=Calendari!$B$2:$B$6)*(A79&lt;=Calendari!$C$2:$C$6)*{1,2,3,4,5}),"P1","P2","P3","P4","P5"),""))</f>
        <v/>
      </c>
      <c r="I79" s="0" t="n">
        <f aca="false">IF(F79="",0,IFERROR(VALUE(LEFT(TRIM(F79),FIND(" ",TRIM(F79))-1)),0))</f>
        <v>0</v>
      </c>
    </row>
    <row r="80" customFormat="false" ht="15.75" hidden="false" customHeight="false" outlineLevel="0" collapsed="false">
      <c r="H80" s="0" t="str">
        <f aca="false">IF(A80="","",IFERROR(CHOOSE(SUMPRODUCT((A80&gt;=Calendari!$B$2:$B$6)*(A80&lt;=Calendari!$C$2:$C$6)*{1,2,3,4,5}),"P1","P2","P3","P4","P5"),""))</f>
        <v/>
      </c>
      <c r="I80" s="0" t="n">
        <f aca="false">IF(F80="",0,IFERROR(VALUE(LEFT(TRIM(F80),FIND(" ",TRIM(F80))-1)),0))</f>
        <v>0</v>
      </c>
    </row>
    <row r="81" customFormat="false" ht="15.75" hidden="false" customHeight="false" outlineLevel="0" collapsed="false">
      <c r="H81" s="0" t="str">
        <f aca="false">IF(A81="","",IFERROR(CHOOSE(SUMPRODUCT((A81&gt;=Calendari!$B$2:$B$6)*(A81&lt;=Calendari!$C$2:$C$6)*{1,2,3,4,5}),"P1","P2","P3","P4","P5"),""))</f>
        <v/>
      </c>
      <c r="I81" s="0" t="n">
        <f aca="false">IF(F81="",0,IFERROR(VALUE(LEFT(TRIM(F81),FIND(" ",TRIM(F81))-1)),0))</f>
        <v>0</v>
      </c>
    </row>
    <row r="82" customFormat="false" ht="15.75" hidden="false" customHeight="false" outlineLevel="0" collapsed="false">
      <c r="H82" s="0" t="str">
        <f aca="false">IF(A82="","",IFERROR(CHOOSE(SUMPRODUCT((A82&gt;=Calendari!$B$2:$B$6)*(A82&lt;=Calendari!$C$2:$C$6)*{1,2,3,4,5}),"P1","P2","P3","P4","P5"),""))</f>
        <v/>
      </c>
      <c r="I82" s="0" t="n">
        <f aca="false">IF(F82="",0,IFERROR(VALUE(LEFT(TRIM(F82),FIND(" ",TRIM(F82))-1)),0))</f>
        <v>0</v>
      </c>
    </row>
    <row r="83" customFormat="false" ht="15.75" hidden="false" customHeight="false" outlineLevel="0" collapsed="false">
      <c r="H83" s="0" t="str">
        <f aca="false">IF(A83="","",IFERROR(CHOOSE(SUMPRODUCT((A83&gt;=Calendari!$B$2:$B$6)*(A83&lt;=Calendari!$C$2:$C$6)*{1,2,3,4,5}),"P1","P2","P3","P4","P5"),""))</f>
        <v/>
      </c>
      <c r="I83" s="0" t="n">
        <f aca="false">IF(F83="",0,IFERROR(VALUE(LEFT(TRIM(F83),FIND(" ",TRIM(F83))-1)),0))</f>
        <v>0</v>
      </c>
    </row>
    <row r="84" customFormat="false" ht="15.75" hidden="false" customHeight="false" outlineLevel="0" collapsed="false">
      <c r="H84" s="0" t="str">
        <f aca="false">IF(A84="","",IFERROR(CHOOSE(SUMPRODUCT((A84&gt;=Calendari!$B$2:$B$6)*(A84&lt;=Calendari!$C$2:$C$6)*{1,2,3,4,5}),"P1","P2","P3","P4","P5"),""))</f>
        <v/>
      </c>
      <c r="I84" s="0" t="n">
        <f aca="false">IF(F84="",0,IFERROR(VALUE(LEFT(TRIM(F84),FIND(" ",TRIM(F84))-1)),0))</f>
        <v>0</v>
      </c>
    </row>
    <row r="85" customFormat="false" ht="15.75" hidden="false" customHeight="false" outlineLevel="0" collapsed="false">
      <c r="H85" s="0" t="str">
        <f aca="false">IF(A85="","",IFERROR(CHOOSE(SUMPRODUCT((A85&gt;=Calendari!$B$2:$B$6)*(A85&lt;=Calendari!$C$2:$C$6)*{1,2,3,4,5}),"P1","P2","P3","P4","P5"),""))</f>
        <v/>
      </c>
      <c r="I85" s="0" t="n">
        <f aca="false">IF(F85="",0,IFERROR(VALUE(LEFT(TRIM(F85),FIND(" ",TRIM(F85))-1)),0))</f>
        <v>0</v>
      </c>
    </row>
    <row r="86" customFormat="false" ht="15.75" hidden="false" customHeight="false" outlineLevel="0" collapsed="false">
      <c r="H86" s="0" t="str">
        <f aca="false">IF(A86="","",IFERROR(CHOOSE(SUMPRODUCT((A86&gt;=Calendari!$B$2:$B$6)*(A86&lt;=Calendari!$C$2:$C$6)*{1,2,3,4,5}),"P1","P2","P3","P4","P5"),""))</f>
        <v/>
      </c>
      <c r="I86" s="0" t="n">
        <f aca="false">IF(F86="",0,IFERROR(VALUE(LEFT(TRIM(F86),FIND(" ",TRIM(F86))-1)),0))</f>
        <v>0</v>
      </c>
    </row>
    <row r="87" customFormat="false" ht="15.75" hidden="false" customHeight="false" outlineLevel="0" collapsed="false">
      <c r="H87" s="0" t="str">
        <f aca="false">IF(A87="","",IFERROR(CHOOSE(SUMPRODUCT((A87&gt;=Calendari!$B$2:$B$6)*(A87&lt;=Calendari!$C$2:$C$6)*{1,2,3,4,5}),"P1","P2","P3","P4","P5"),""))</f>
        <v/>
      </c>
      <c r="I87" s="0" t="n">
        <f aca="false">IF(F87="",0,IFERROR(VALUE(LEFT(TRIM(F87),FIND(" ",TRIM(F87))-1)),0))</f>
        <v>0</v>
      </c>
    </row>
    <row r="88" customFormat="false" ht="15.75" hidden="false" customHeight="false" outlineLevel="0" collapsed="false">
      <c r="H88" s="0" t="str">
        <f aca="false">IF(A88="","",IFERROR(CHOOSE(SUMPRODUCT((A88&gt;=Calendari!$B$2:$B$6)*(A88&lt;=Calendari!$C$2:$C$6)*{1,2,3,4,5}),"P1","P2","P3","P4","P5"),""))</f>
        <v/>
      </c>
      <c r="I88" s="0" t="n">
        <f aca="false">IF(F88="",0,IFERROR(VALUE(LEFT(TRIM(F88),FIND(" ",TRIM(F88))-1)),0))</f>
        <v>0</v>
      </c>
    </row>
    <row r="89" customFormat="false" ht="15.75" hidden="false" customHeight="false" outlineLevel="0" collapsed="false">
      <c r="H89" s="0" t="str">
        <f aca="false">IF(A89="","",IFERROR(CHOOSE(SUMPRODUCT((A89&gt;=Calendari!$B$2:$B$6)*(A89&lt;=Calendari!$C$2:$C$6)*{1,2,3,4,5}),"P1","P2","P3","P4","P5"),""))</f>
        <v/>
      </c>
      <c r="I89" s="0" t="n">
        <f aca="false">IF(F89="",0,IFERROR(VALUE(LEFT(TRIM(F89),FIND(" ",TRIM(F89))-1)),0))</f>
        <v>0</v>
      </c>
    </row>
    <row r="90" customFormat="false" ht="15.75" hidden="false" customHeight="false" outlineLevel="0" collapsed="false">
      <c r="H90" s="0" t="str">
        <f aca="false">IF(A90="","",IFERROR(CHOOSE(SUMPRODUCT((A90&gt;=Calendari!$B$2:$B$6)*(A90&lt;=Calendari!$C$2:$C$6)*{1,2,3,4,5}),"P1","P2","P3","P4","P5"),""))</f>
        <v/>
      </c>
      <c r="I90" s="0" t="n">
        <f aca="false">IF(F90="",0,IFERROR(VALUE(LEFT(TRIM(F90),FIND(" ",TRIM(F90))-1)),0))</f>
        <v>0</v>
      </c>
    </row>
    <row r="91" customFormat="false" ht="15.75" hidden="false" customHeight="false" outlineLevel="0" collapsed="false">
      <c r="H91" s="0" t="str">
        <f aca="false">IF(A91="","",IFERROR(CHOOSE(SUMPRODUCT((A91&gt;=Calendari!$B$2:$B$6)*(A91&lt;=Calendari!$C$2:$C$6)*{1,2,3,4,5}),"P1","P2","P3","P4","P5"),""))</f>
        <v/>
      </c>
      <c r="I91" s="0" t="n">
        <f aca="false">IF(F91="",0,IFERROR(VALUE(LEFT(TRIM(F91),FIND(" ",TRIM(F91))-1)),0))</f>
        <v>0</v>
      </c>
    </row>
    <row r="92" customFormat="false" ht="15.75" hidden="false" customHeight="false" outlineLevel="0" collapsed="false">
      <c r="H92" s="0" t="str">
        <f aca="false">IF(A92="","",IFERROR(CHOOSE(SUMPRODUCT((A92&gt;=Calendari!$B$2:$B$6)*(A92&lt;=Calendari!$C$2:$C$6)*{1,2,3,4,5}),"P1","P2","P3","P4","P5"),""))</f>
        <v/>
      </c>
      <c r="I92" s="0" t="n">
        <f aca="false">IF(F92="",0,IFERROR(VALUE(LEFT(TRIM(F92),FIND(" ",TRIM(F92))-1)),0))</f>
        <v>0</v>
      </c>
    </row>
    <row r="93" customFormat="false" ht="15.75" hidden="false" customHeight="false" outlineLevel="0" collapsed="false">
      <c r="H93" s="0" t="str">
        <f aca="false">IF(A93="","",IFERROR(CHOOSE(SUMPRODUCT((A93&gt;=Calendari!$B$2:$B$6)*(A93&lt;=Calendari!$C$2:$C$6)*{1,2,3,4,5}),"P1","P2","P3","P4","P5"),""))</f>
        <v/>
      </c>
      <c r="I93" s="0" t="n">
        <f aca="false">IF(F93="",0,IFERROR(VALUE(LEFT(TRIM(F93),FIND(" ",TRIM(F93))-1)),0))</f>
        <v>0</v>
      </c>
    </row>
    <row r="94" customFormat="false" ht="15.75" hidden="false" customHeight="false" outlineLevel="0" collapsed="false">
      <c r="H94" s="0" t="str">
        <f aca="false">IF(A94="","",IFERROR(CHOOSE(SUMPRODUCT((A94&gt;=Calendari!$B$2:$B$6)*(A94&lt;=Calendari!$C$2:$C$6)*{1,2,3,4,5}),"P1","P2","P3","P4","P5"),""))</f>
        <v/>
      </c>
      <c r="I94" s="0" t="n">
        <f aca="false">IF(F94="",0,IFERROR(VALUE(LEFT(TRIM(F94),FIND(" ",TRIM(F94))-1)),0))</f>
        <v>0</v>
      </c>
    </row>
    <row r="95" customFormat="false" ht="15.75" hidden="false" customHeight="false" outlineLevel="0" collapsed="false">
      <c r="H95" s="0" t="str">
        <f aca="false">IF(A95="","",IFERROR(CHOOSE(SUMPRODUCT((A95&gt;=Calendari!$B$2:$B$6)*(A95&lt;=Calendari!$C$2:$C$6)*{1,2,3,4,5}),"P1","P2","P3","P4","P5"),""))</f>
        <v/>
      </c>
      <c r="I95" s="0" t="n">
        <f aca="false">IF(F95="",0,IFERROR(VALUE(LEFT(TRIM(F95),FIND(" ",TRIM(F95))-1)),0))</f>
        <v>0</v>
      </c>
    </row>
    <row r="96" customFormat="false" ht="15.75" hidden="false" customHeight="false" outlineLevel="0" collapsed="false">
      <c r="H96" s="0" t="str">
        <f aca="false">IF(A96="","",IFERROR(CHOOSE(SUMPRODUCT((A96&gt;=Calendari!$B$2:$B$6)*(A96&lt;=Calendari!$C$2:$C$6)*{1,2,3,4,5}),"P1","P2","P3","P4","P5"),""))</f>
        <v/>
      </c>
      <c r="I96" s="0" t="n">
        <f aca="false">IF(F96="",0,IFERROR(VALUE(LEFT(TRIM(F96),FIND(" ",TRIM(F96))-1)),0))</f>
        <v>0</v>
      </c>
    </row>
    <row r="97" customFormat="false" ht="15.75" hidden="false" customHeight="false" outlineLevel="0" collapsed="false">
      <c r="H97" s="0" t="str">
        <f aca="false">IF(A97="","",IFERROR(CHOOSE(SUMPRODUCT((A97&gt;=Calendari!$B$2:$B$6)*(A97&lt;=Calendari!$C$2:$C$6)*{1,2,3,4,5}),"P1","P2","P3","P4","P5"),""))</f>
        <v/>
      </c>
      <c r="I97" s="0" t="n">
        <f aca="false">IF(F97="",0,IFERROR(VALUE(LEFT(TRIM(F97),FIND(" ",TRIM(F97))-1)),0))</f>
        <v>0</v>
      </c>
    </row>
    <row r="98" customFormat="false" ht="15.75" hidden="false" customHeight="false" outlineLevel="0" collapsed="false">
      <c r="H98" s="0" t="str">
        <f aca="false">IF(A98="","",IFERROR(CHOOSE(SUMPRODUCT((A98&gt;=Calendari!$B$2:$B$6)*(A98&lt;=Calendari!$C$2:$C$6)*{1,2,3,4,5}),"P1","P2","P3","P4","P5"),""))</f>
        <v/>
      </c>
      <c r="I98" s="0" t="n">
        <f aca="false">IF(F98="",0,IFERROR(VALUE(LEFT(TRIM(F98),FIND(" ",TRIM(F98))-1)),0))</f>
        <v>0</v>
      </c>
    </row>
    <row r="99" customFormat="false" ht="15.75" hidden="false" customHeight="false" outlineLevel="0" collapsed="false">
      <c r="H99" s="0" t="str">
        <f aca="false">IF(A99="","",IFERROR(CHOOSE(SUMPRODUCT((A99&gt;=Calendari!$B$2:$B$6)*(A99&lt;=Calendari!$C$2:$C$6)*{1,2,3,4,5}),"P1","P2","P3","P4","P5"),""))</f>
        <v/>
      </c>
      <c r="I99" s="0" t="n">
        <f aca="false">IF(F99="",0,IFERROR(VALUE(LEFT(TRIM(F99),FIND(" ",TRIM(F99))-1)),0))</f>
        <v>0</v>
      </c>
    </row>
    <row r="100" customFormat="false" ht="15.75" hidden="false" customHeight="false" outlineLevel="0" collapsed="false">
      <c r="H100" s="0" t="str">
        <f aca="false">IF(A100="","",IFERROR(CHOOSE(SUMPRODUCT((A100&gt;=Calendari!$B$2:$B$6)*(A100&lt;=Calendari!$C$2:$C$6)*{1,2,3,4,5}),"P1","P2","P3","P4","P5"),""))</f>
        <v/>
      </c>
      <c r="I100" s="0" t="n">
        <f aca="false">IF(F100="",0,IFERROR(VALUE(LEFT(TRIM(F100),FIND(" ",TRIM(F100))-1)),0))</f>
        <v>0</v>
      </c>
    </row>
    <row r="101" customFormat="false" ht="15.75" hidden="false" customHeight="false" outlineLevel="0" collapsed="false">
      <c r="H101" s="0" t="str">
        <f aca="false">IF(A101="","",IFERROR(CHOOSE(SUMPRODUCT((A101&gt;=Calendari!$B$2:$B$6)*(A101&lt;=Calendari!$C$2:$C$6)*{1,2,3,4,5}),"P1","P2","P3","P4","P5"),""))</f>
        <v/>
      </c>
      <c r="I101" s="0" t="n">
        <f aca="false">IF(F101="",0,IFERROR(VALUE(LEFT(TRIM(F101),FIND(" ",TRIM(F101))-1)),0))</f>
        <v>0</v>
      </c>
    </row>
    <row r="102" customFormat="false" ht="15.75" hidden="false" customHeight="false" outlineLevel="0" collapsed="false">
      <c r="H102" s="0" t="str">
        <f aca="false">IF(A102="","",IFERROR(CHOOSE(SUMPRODUCT((A102&gt;=Calendari!$B$2:$B$6)*(A102&lt;=Calendari!$C$2:$C$6)*{1,2,3,4,5}),"P1","P2","P3","P4","P5"),""))</f>
        <v/>
      </c>
      <c r="I102" s="0" t="n">
        <f aca="false">IF(F102="",0,IFERROR(VALUE(LEFT(TRIM(F102),FIND(" ",TRIM(F102))-1)),0))</f>
        <v>0</v>
      </c>
    </row>
    <row r="103" customFormat="false" ht="15.75" hidden="false" customHeight="false" outlineLevel="0" collapsed="false">
      <c r="H103" s="0" t="str">
        <f aca="false">IF(A103="","",IFERROR(CHOOSE(SUMPRODUCT((A103&gt;=Calendari!$B$2:$B$6)*(A103&lt;=Calendari!$C$2:$C$6)*{1,2,3,4,5}),"P1","P2","P3","P4","P5"),""))</f>
        <v/>
      </c>
      <c r="I103" s="0" t="n">
        <f aca="false">IF(F103="",0,IFERROR(VALUE(LEFT(TRIM(F103),FIND(" ",TRIM(F103))-1)),0))</f>
        <v>0</v>
      </c>
    </row>
    <row r="104" customFormat="false" ht="15.75" hidden="false" customHeight="false" outlineLevel="0" collapsed="false">
      <c r="H104" s="0" t="str">
        <f aca="false">IF(A104="","",IFERROR(CHOOSE(SUMPRODUCT((A104&gt;=Calendari!$B$2:$B$6)*(A104&lt;=Calendari!$C$2:$C$6)*{1,2,3,4,5}),"P1","P2","P3","P4","P5"),""))</f>
        <v/>
      </c>
      <c r="I104" s="0" t="n">
        <f aca="false">IF(F104="",0,IFERROR(VALUE(LEFT(TRIM(F104),FIND(" ",TRIM(F104))-1)),0))</f>
        <v>0</v>
      </c>
    </row>
    <row r="105" customFormat="false" ht="15.75" hidden="false" customHeight="false" outlineLevel="0" collapsed="false">
      <c r="H105" s="0" t="str">
        <f aca="false">IF(A105="","",IFERROR(CHOOSE(SUMPRODUCT((A105&gt;=Calendari!$B$2:$B$6)*(A105&lt;=Calendari!$C$2:$C$6)*{1,2,3,4,5}),"P1","P2","P3","P4","P5"),""))</f>
        <v/>
      </c>
      <c r="I105" s="0" t="n">
        <f aca="false">IF(F105="",0,IFERROR(VALUE(LEFT(TRIM(F105),FIND(" ",TRIM(F105))-1)),0))</f>
        <v>0</v>
      </c>
    </row>
    <row r="106" customFormat="false" ht="15.75" hidden="false" customHeight="false" outlineLevel="0" collapsed="false">
      <c r="H106" s="0" t="str">
        <f aca="false">IF(A106="","",IFERROR(CHOOSE(SUMPRODUCT((A106&gt;=Calendari!$B$2:$B$6)*(A106&lt;=Calendari!$C$2:$C$6)*{1,2,3,4,5}),"P1","P2","P3","P4","P5"),""))</f>
        <v/>
      </c>
      <c r="I106" s="0" t="n">
        <f aca="false">IF(F106="",0,IFERROR(VALUE(LEFT(TRIM(F106),FIND(" ",TRIM(F106))-1)),0))</f>
        <v>0</v>
      </c>
    </row>
    <row r="107" customFormat="false" ht="15.75" hidden="false" customHeight="false" outlineLevel="0" collapsed="false">
      <c r="H107" s="0" t="str">
        <f aca="false">IF(A107="","",IFERROR(CHOOSE(SUMPRODUCT((A107&gt;=Calendari!$B$2:$B$6)*(A107&lt;=Calendari!$C$2:$C$6)*{1,2,3,4,5}),"P1","P2","P3","P4","P5"),""))</f>
        <v/>
      </c>
      <c r="I107" s="0" t="n">
        <f aca="false">IF(F107="",0,IFERROR(VALUE(LEFT(TRIM(F107),FIND(" ",TRIM(F107))-1)),0))</f>
        <v>0</v>
      </c>
    </row>
    <row r="108" customFormat="false" ht="15.75" hidden="false" customHeight="false" outlineLevel="0" collapsed="false">
      <c r="H108" s="0" t="str">
        <f aca="false">IF(A108="","",IFERROR(CHOOSE(SUMPRODUCT((A108&gt;=Calendari!$B$2:$B$6)*(A108&lt;=Calendari!$C$2:$C$6)*{1,2,3,4,5}),"P1","P2","P3","P4","P5"),""))</f>
        <v/>
      </c>
      <c r="I108" s="0" t="n">
        <f aca="false">IF(F108="",0,IFERROR(VALUE(LEFT(TRIM(F108),FIND(" ",TRIM(F108))-1)),0))</f>
        <v>0</v>
      </c>
    </row>
    <row r="109" customFormat="false" ht="15.75" hidden="false" customHeight="false" outlineLevel="0" collapsed="false">
      <c r="H109" s="0" t="str">
        <f aca="false">IF(A109="","",IFERROR(CHOOSE(SUMPRODUCT((A109&gt;=Calendari!$B$2:$B$6)*(A109&lt;=Calendari!$C$2:$C$6)*{1,2,3,4,5}),"P1","P2","P3","P4","P5"),""))</f>
        <v/>
      </c>
      <c r="I109" s="0" t="n">
        <f aca="false">IF(F109="",0,IFERROR(VALUE(LEFT(TRIM(F109),FIND(" ",TRIM(F109))-1)),0))</f>
        <v>0</v>
      </c>
    </row>
    <row r="110" customFormat="false" ht="15.75" hidden="false" customHeight="false" outlineLevel="0" collapsed="false">
      <c r="H110" s="0" t="str">
        <f aca="false">IF(A110="","",IFERROR(CHOOSE(SUMPRODUCT((A110&gt;=Calendari!$B$2:$B$6)*(A110&lt;=Calendari!$C$2:$C$6)*{1,2,3,4,5}),"P1","P2","P3","P4","P5"),""))</f>
        <v/>
      </c>
      <c r="I110" s="0" t="n">
        <f aca="false">IF(F110="",0,IFERROR(VALUE(LEFT(TRIM(F110),FIND(" ",TRIM(F110))-1)),0))</f>
        <v>0</v>
      </c>
    </row>
    <row r="111" customFormat="false" ht="15.75" hidden="false" customHeight="false" outlineLevel="0" collapsed="false">
      <c r="H111" s="0" t="str">
        <f aca="false">IF(A111="","",IFERROR(CHOOSE(SUMPRODUCT((A111&gt;=Calendari!$B$2:$B$6)*(A111&lt;=Calendari!$C$2:$C$6)*{1,2,3,4,5}),"P1","P2","P3","P4","P5"),""))</f>
        <v/>
      </c>
      <c r="I111" s="0" t="n">
        <f aca="false">IF(F111="",0,IFERROR(VALUE(LEFT(TRIM(F111),FIND(" ",TRIM(F111))-1)),0))</f>
        <v>0</v>
      </c>
    </row>
    <row r="112" customFormat="false" ht="15.75" hidden="false" customHeight="false" outlineLevel="0" collapsed="false">
      <c r="H112" s="0" t="str">
        <f aca="false">IF(A112="","",IFERROR(CHOOSE(SUMPRODUCT((A112&gt;=Calendari!$B$2:$B$6)*(A112&lt;=Calendari!$C$2:$C$6)*{1,2,3,4,5}),"P1","P2","P3","P4","P5"),""))</f>
        <v/>
      </c>
      <c r="I112" s="0" t="n">
        <f aca="false">IF(F112="",0,IFERROR(VALUE(LEFT(TRIM(F112),FIND(" ",TRIM(F112))-1)),0))</f>
        <v>0</v>
      </c>
    </row>
    <row r="113" customFormat="false" ht="15.75" hidden="false" customHeight="false" outlineLevel="0" collapsed="false">
      <c r="H113" s="0" t="str">
        <f aca="false">IF(A113="","",IFERROR(CHOOSE(SUMPRODUCT((A113&gt;=Calendari!$B$2:$B$6)*(A113&lt;=Calendari!$C$2:$C$6)*{1,2,3,4,5}),"P1","P2","P3","P4","P5"),""))</f>
        <v/>
      </c>
      <c r="I113" s="0" t="n">
        <f aca="false">IF(F113="",0,IFERROR(VALUE(LEFT(TRIM(F113),FIND(" ",TRIM(F113))-1)),0))</f>
        <v>0</v>
      </c>
    </row>
    <row r="114" customFormat="false" ht="15.75" hidden="false" customHeight="false" outlineLevel="0" collapsed="false">
      <c r="H114" s="0" t="str">
        <f aca="false">IF(A114="","",IFERROR(CHOOSE(SUMPRODUCT((A114&gt;=Calendari!$B$2:$B$6)*(A114&lt;=Calendari!$C$2:$C$6)*{1,2,3,4,5}),"P1","P2","P3","P4","P5"),""))</f>
        <v/>
      </c>
      <c r="I114" s="0" t="n">
        <f aca="false">IF(F114="",0,IFERROR(VALUE(LEFT(TRIM(F114),FIND(" ",TRIM(F114))-1)),0))</f>
        <v>0</v>
      </c>
    </row>
    <row r="115" customFormat="false" ht="15.75" hidden="false" customHeight="false" outlineLevel="0" collapsed="false">
      <c r="H115" s="0" t="str">
        <f aca="false">IF(A115="","",IFERROR(CHOOSE(SUMPRODUCT((A115&gt;=Calendari!$B$2:$B$6)*(A115&lt;=Calendari!$C$2:$C$6)*{1,2,3,4,5}),"P1","P2","P3","P4","P5"),""))</f>
        <v/>
      </c>
      <c r="I115" s="0" t="n">
        <f aca="false">IF(F115="",0,IFERROR(VALUE(LEFT(TRIM(F115),FIND(" ",TRIM(F115))-1)),0))</f>
        <v>0</v>
      </c>
    </row>
    <row r="116" customFormat="false" ht="15.75" hidden="false" customHeight="false" outlineLevel="0" collapsed="false">
      <c r="H116" s="0" t="str">
        <f aca="false">IF(A116="","",IFERROR(CHOOSE(SUMPRODUCT((A116&gt;=Calendari!$B$2:$B$6)*(A116&lt;=Calendari!$C$2:$C$6)*{1,2,3,4,5}),"P1","P2","P3","P4","P5"),""))</f>
        <v/>
      </c>
      <c r="I116" s="0" t="n">
        <f aca="false">IF(F116="",0,IFERROR(VALUE(LEFT(TRIM(F116),FIND(" ",TRIM(F116))-1)),0))</f>
        <v>0</v>
      </c>
    </row>
    <row r="117" customFormat="false" ht="15.75" hidden="false" customHeight="false" outlineLevel="0" collapsed="false">
      <c r="H117" s="0" t="str">
        <f aca="false">IF(A117="","",IFERROR(CHOOSE(SUMPRODUCT((A117&gt;=Calendari!$B$2:$B$6)*(A117&lt;=Calendari!$C$2:$C$6)*{1,2,3,4,5}),"P1","P2","P3","P4","P5"),""))</f>
        <v/>
      </c>
      <c r="I117" s="0" t="n">
        <f aca="false">IF(F117="",0,IFERROR(VALUE(LEFT(TRIM(F117),FIND(" ",TRIM(F117))-1)),0))</f>
        <v>0</v>
      </c>
    </row>
    <row r="118" customFormat="false" ht="15.75" hidden="false" customHeight="false" outlineLevel="0" collapsed="false">
      <c r="H118" s="0" t="str">
        <f aca="false">IF(A118="","",IFERROR(CHOOSE(SUMPRODUCT((A118&gt;=Calendari!$B$2:$B$6)*(A118&lt;=Calendari!$C$2:$C$6)*{1,2,3,4,5}),"P1","P2","P3","P4","P5"),""))</f>
        <v/>
      </c>
      <c r="I118" s="0" t="n">
        <f aca="false">IF(F118="",0,IFERROR(VALUE(LEFT(TRIM(F118),FIND(" ",TRIM(F118))-1)),0))</f>
        <v>0</v>
      </c>
    </row>
    <row r="119" customFormat="false" ht="15.75" hidden="false" customHeight="false" outlineLevel="0" collapsed="false">
      <c r="H119" s="0" t="str">
        <f aca="false">IF(A119="","",IFERROR(CHOOSE(SUMPRODUCT((A119&gt;=Calendari!$B$2:$B$6)*(A119&lt;=Calendari!$C$2:$C$6)*{1,2,3,4,5}),"P1","P2","P3","P4","P5"),""))</f>
        <v/>
      </c>
      <c r="I119" s="0" t="n">
        <f aca="false">IF(F119="",0,IFERROR(VALUE(LEFT(TRIM(F119),FIND(" ",TRIM(F119))-1)),0))</f>
        <v>0</v>
      </c>
    </row>
    <row r="120" customFormat="false" ht="15.75" hidden="false" customHeight="false" outlineLevel="0" collapsed="false">
      <c r="H120" s="0" t="str">
        <f aca="false">IF(A120="","",IFERROR(CHOOSE(SUMPRODUCT((A120&gt;=Calendari!$B$2:$B$6)*(A120&lt;=Calendari!$C$2:$C$6)*{1,2,3,4,5}),"P1","P2","P3","P4","P5"),""))</f>
        <v/>
      </c>
      <c r="I120" s="0" t="n">
        <f aca="false">IF(F120="",0,IFERROR(VALUE(LEFT(TRIM(F120),FIND(" ",TRIM(F120))-1)),0))</f>
        <v>0</v>
      </c>
    </row>
    <row r="121" customFormat="false" ht="15.75" hidden="false" customHeight="false" outlineLevel="0" collapsed="false">
      <c r="H121" s="0" t="str">
        <f aca="false">IF(A121="","",IFERROR(CHOOSE(SUMPRODUCT((A121&gt;=Calendari!$B$2:$B$6)*(A121&lt;=Calendari!$C$2:$C$6)*{1,2,3,4,5}),"P1","P2","P3","P4","P5"),""))</f>
        <v/>
      </c>
      <c r="I121" s="0" t="n">
        <f aca="false">IF(F121="",0,IFERROR(VALUE(LEFT(TRIM(F121),FIND(" ",TRIM(F121))-1)),0))</f>
        <v>0</v>
      </c>
    </row>
    <row r="122" customFormat="false" ht="15.75" hidden="false" customHeight="false" outlineLevel="0" collapsed="false">
      <c r="H122" s="0" t="str">
        <f aca="false">IF(A122="","",IFERROR(CHOOSE(SUMPRODUCT((A122&gt;=Calendari!$B$2:$B$6)*(A122&lt;=Calendari!$C$2:$C$6)*{1,2,3,4,5}),"P1","P2","P3","P4","P5"),""))</f>
        <v/>
      </c>
      <c r="I122" s="0" t="n">
        <f aca="false">IF(F122="",0,IFERROR(VALUE(LEFT(TRIM(F122),FIND(" ",TRIM(F122))-1)),0))</f>
        <v>0</v>
      </c>
    </row>
    <row r="123" customFormat="false" ht="15.75" hidden="false" customHeight="false" outlineLevel="0" collapsed="false">
      <c r="H123" s="0" t="str">
        <f aca="false">IF(A123="","",IFERROR(CHOOSE(SUMPRODUCT((A123&gt;=Calendari!$B$2:$B$6)*(A123&lt;=Calendari!$C$2:$C$6)*{1,2,3,4,5}),"P1","P2","P3","P4","P5"),""))</f>
        <v/>
      </c>
      <c r="I123" s="0" t="n">
        <f aca="false">IF(F123="",0,IFERROR(VALUE(LEFT(TRIM(F123),FIND(" ",TRIM(F123))-1)),0))</f>
        <v>0</v>
      </c>
    </row>
    <row r="124" customFormat="false" ht="15.75" hidden="false" customHeight="false" outlineLevel="0" collapsed="false">
      <c r="H124" s="0" t="str">
        <f aca="false">IF(A124="","",IFERROR(CHOOSE(SUMPRODUCT((A124&gt;=Calendari!$B$2:$B$6)*(A124&lt;=Calendari!$C$2:$C$6)*{1,2,3,4,5}),"P1","P2","P3","P4","P5"),""))</f>
        <v/>
      </c>
      <c r="I124" s="0" t="n">
        <f aca="false">IF(F124="",0,IFERROR(VALUE(LEFT(TRIM(F124),FIND(" ",TRIM(F124))-1)),0))</f>
        <v>0</v>
      </c>
    </row>
    <row r="125" customFormat="false" ht="15.75" hidden="false" customHeight="false" outlineLevel="0" collapsed="false">
      <c r="H125" s="0" t="str">
        <f aca="false">IF(A125="","",IFERROR(CHOOSE(SUMPRODUCT((A125&gt;=Calendari!$B$2:$B$6)*(A125&lt;=Calendari!$C$2:$C$6)*{1,2,3,4,5}),"P1","P2","P3","P4","P5"),""))</f>
        <v/>
      </c>
      <c r="I125" s="0" t="n">
        <f aca="false">IF(F125="",0,IFERROR(VALUE(LEFT(TRIM(F125),FIND(" ",TRIM(F125))-1)),0))</f>
        <v>0</v>
      </c>
    </row>
    <row r="126" customFormat="false" ht="15.75" hidden="false" customHeight="false" outlineLevel="0" collapsed="false">
      <c r="H126" s="0" t="str">
        <f aca="false">IF(A126="","",IFERROR(CHOOSE(SUMPRODUCT((A126&gt;=Calendari!$B$2:$B$6)*(A126&lt;=Calendari!$C$2:$C$6)*{1,2,3,4,5}),"P1","P2","P3","P4","P5"),""))</f>
        <v/>
      </c>
      <c r="I126" s="0" t="n">
        <f aca="false">IF(F126="",0,IFERROR(VALUE(LEFT(TRIM(F126),FIND(" ",TRIM(F126))-1)),0))</f>
        <v>0</v>
      </c>
    </row>
    <row r="127" customFormat="false" ht="15.75" hidden="false" customHeight="false" outlineLevel="0" collapsed="false">
      <c r="H127" s="0" t="str">
        <f aca="false">IF(A127="","",IFERROR(CHOOSE(SUMPRODUCT((A127&gt;=Calendari!$B$2:$B$6)*(A127&lt;=Calendari!$C$2:$C$6)*{1,2,3,4,5}),"P1","P2","P3","P4","P5"),""))</f>
        <v/>
      </c>
      <c r="I127" s="0" t="n">
        <f aca="false">IF(F127="",0,IFERROR(VALUE(LEFT(TRIM(F127),FIND(" ",TRIM(F127))-1)),0))</f>
        <v>0</v>
      </c>
    </row>
    <row r="128" customFormat="false" ht="15.75" hidden="false" customHeight="false" outlineLevel="0" collapsed="false">
      <c r="H128" s="0" t="str">
        <f aca="false">IF(A128="","",IFERROR(CHOOSE(SUMPRODUCT((A128&gt;=Calendari!$B$2:$B$6)*(A128&lt;=Calendari!$C$2:$C$6)*{1,2,3,4,5}),"P1","P2","P3","P4","P5"),""))</f>
        <v/>
      </c>
      <c r="I128" s="0" t="n">
        <f aca="false">IF(F128="",0,IFERROR(VALUE(LEFT(TRIM(F128),FIND(" ",TRIM(F128))-1)),0))</f>
        <v>0</v>
      </c>
    </row>
    <row r="129" customFormat="false" ht="15.75" hidden="false" customHeight="false" outlineLevel="0" collapsed="false">
      <c r="H129" s="0" t="str">
        <f aca="false">IF(A129="","",IFERROR(CHOOSE(SUMPRODUCT((A129&gt;=Calendari!$B$2:$B$6)*(A129&lt;=Calendari!$C$2:$C$6)*{1,2,3,4,5}),"P1","P2","P3","P4","P5"),""))</f>
        <v/>
      </c>
      <c r="I129" s="0" t="n">
        <f aca="false">IF(F129="",0,IFERROR(VALUE(LEFT(TRIM(F129),FIND(" ",TRIM(F129))-1)),0))</f>
        <v>0</v>
      </c>
    </row>
    <row r="130" customFormat="false" ht="15.75" hidden="false" customHeight="false" outlineLevel="0" collapsed="false">
      <c r="H130" s="0" t="str">
        <f aca="false">IF(A130="","",IFERROR(CHOOSE(SUMPRODUCT((A130&gt;=Calendari!$B$2:$B$6)*(A130&lt;=Calendari!$C$2:$C$6)*{1,2,3,4,5}),"P1","P2","P3","P4","P5"),""))</f>
        <v/>
      </c>
      <c r="I130" s="0" t="n">
        <f aca="false">IF(F130="",0,IFERROR(VALUE(LEFT(TRIM(F130),FIND(" ",TRIM(F130))-1)),0))</f>
        <v>0</v>
      </c>
    </row>
    <row r="131" customFormat="false" ht="15.75" hidden="false" customHeight="false" outlineLevel="0" collapsed="false">
      <c r="H131" s="0" t="str">
        <f aca="false">IF(A131="","",IFERROR(CHOOSE(SUMPRODUCT((A131&gt;=Calendari!$B$2:$B$6)*(A131&lt;=Calendari!$C$2:$C$6)*{1,2,3,4,5}),"P1","P2","P3","P4","P5"),""))</f>
        <v/>
      </c>
      <c r="I131" s="0" t="n">
        <f aca="false">IF(F131="",0,IFERROR(VALUE(LEFT(TRIM(F131),FIND(" ",TRIM(F131))-1)),0))</f>
        <v>0</v>
      </c>
    </row>
    <row r="132" customFormat="false" ht="15.75" hidden="false" customHeight="false" outlineLevel="0" collapsed="false">
      <c r="H132" s="0" t="str">
        <f aca="false">IF(A132="","",IFERROR(CHOOSE(SUMPRODUCT((A132&gt;=Calendari!$B$2:$B$6)*(A132&lt;=Calendari!$C$2:$C$6)*{1,2,3,4,5}),"P1","P2","P3","P4","P5"),""))</f>
        <v/>
      </c>
      <c r="I132" s="0" t="n">
        <f aca="false">IF(F132="",0,IFERROR(VALUE(LEFT(TRIM(F132),FIND(" ",TRIM(F132))-1)),0))</f>
        <v>0</v>
      </c>
    </row>
    <row r="133" customFormat="false" ht="15.75" hidden="false" customHeight="false" outlineLevel="0" collapsed="false">
      <c r="H133" s="0" t="str">
        <f aca="false">IF(A133="","",IFERROR(CHOOSE(SUMPRODUCT((A133&gt;=Calendari!$B$2:$B$6)*(A133&lt;=Calendari!$C$2:$C$6)*{1,2,3,4,5}),"P1","P2","P3","P4","P5"),""))</f>
        <v/>
      </c>
      <c r="I133" s="0" t="n">
        <f aca="false">IF(F133="",0,IFERROR(VALUE(LEFT(TRIM(F133),FIND(" ",TRIM(F133))-1)),0))</f>
        <v>0</v>
      </c>
    </row>
    <row r="134" customFormat="false" ht="15.75" hidden="false" customHeight="false" outlineLevel="0" collapsed="false">
      <c r="H134" s="0" t="str">
        <f aca="false">IF(A134="","",IFERROR(CHOOSE(SUMPRODUCT((A134&gt;=Calendari!$B$2:$B$6)*(A134&lt;=Calendari!$C$2:$C$6)*{1,2,3,4,5}),"P1","P2","P3","P4","P5"),""))</f>
        <v/>
      </c>
      <c r="I134" s="0" t="n">
        <f aca="false">IF(F134="",0,IFERROR(VALUE(LEFT(TRIM(F134),FIND(" ",TRIM(F134))-1)),0))</f>
        <v>0</v>
      </c>
    </row>
    <row r="135" customFormat="false" ht="15.75" hidden="false" customHeight="false" outlineLevel="0" collapsed="false">
      <c r="H135" s="0" t="str">
        <f aca="false">IF(A135="","",IFERROR(CHOOSE(SUMPRODUCT((A135&gt;=Calendari!$B$2:$B$6)*(A135&lt;=Calendari!$C$2:$C$6)*{1,2,3,4,5}),"P1","P2","P3","P4","P5"),""))</f>
        <v/>
      </c>
      <c r="I135" s="0" t="n">
        <f aca="false">IF(F135="",0,IFERROR(VALUE(LEFT(TRIM(F135),FIND(" ",TRIM(F135))-1)),0))</f>
        <v>0</v>
      </c>
    </row>
    <row r="136" customFormat="false" ht="15.75" hidden="false" customHeight="false" outlineLevel="0" collapsed="false">
      <c r="H136" s="0" t="str">
        <f aca="false">IF(A136="","",IFERROR(CHOOSE(SUMPRODUCT((A136&gt;=Calendari!$B$2:$B$6)*(A136&lt;=Calendari!$C$2:$C$6)*{1,2,3,4,5}),"P1","P2","P3","P4","P5"),""))</f>
        <v/>
      </c>
      <c r="I136" s="0" t="n">
        <f aca="false">IF(F136="",0,IFERROR(VALUE(LEFT(TRIM(F136),FIND(" ",TRIM(F136))-1)),0))</f>
        <v>0</v>
      </c>
    </row>
    <row r="137" customFormat="false" ht="15.75" hidden="false" customHeight="false" outlineLevel="0" collapsed="false">
      <c r="H137" s="0" t="str">
        <f aca="false">IF(A137="","",IFERROR(CHOOSE(SUMPRODUCT((A137&gt;=Calendari!$B$2:$B$6)*(A137&lt;=Calendari!$C$2:$C$6)*{1,2,3,4,5}),"P1","P2","P3","P4","P5"),""))</f>
        <v/>
      </c>
      <c r="I137" s="0" t="n">
        <f aca="false">IF(F137="",0,IFERROR(VALUE(LEFT(TRIM(F137),FIND(" ",TRIM(F137))-1)),0))</f>
        <v>0</v>
      </c>
    </row>
    <row r="138" customFormat="false" ht="15.75" hidden="false" customHeight="false" outlineLevel="0" collapsed="false">
      <c r="H138" s="0" t="str">
        <f aca="false">IF(A138="","",IFERROR(CHOOSE(SUMPRODUCT((A138&gt;=Calendari!$B$2:$B$6)*(A138&lt;=Calendari!$C$2:$C$6)*{1,2,3,4,5}),"P1","P2","P3","P4","P5"),""))</f>
        <v/>
      </c>
      <c r="I138" s="0" t="n">
        <f aca="false">IF(F138="",0,IFERROR(VALUE(LEFT(TRIM(F138),FIND(" ",TRIM(F138))-1)),0))</f>
        <v>0</v>
      </c>
    </row>
    <row r="139" customFormat="false" ht="15.75" hidden="false" customHeight="false" outlineLevel="0" collapsed="false">
      <c r="H139" s="0" t="str">
        <f aca="false">IF(A139="","",IFERROR(CHOOSE(SUMPRODUCT((A139&gt;=Calendari!$B$2:$B$6)*(A139&lt;=Calendari!$C$2:$C$6)*{1,2,3,4,5}),"P1","P2","P3","P4","P5"),""))</f>
        <v/>
      </c>
      <c r="I139" s="0" t="n">
        <f aca="false">IF(F139="",0,IFERROR(VALUE(LEFT(TRIM(F139),FIND(" ",TRIM(F139))-1)),0))</f>
        <v>0</v>
      </c>
    </row>
    <row r="140" customFormat="false" ht="15.75" hidden="false" customHeight="false" outlineLevel="0" collapsed="false">
      <c r="H140" s="0" t="str">
        <f aca="false">IF(A140="","",IFERROR(CHOOSE(SUMPRODUCT((A140&gt;=Calendari!$B$2:$B$6)*(A140&lt;=Calendari!$C$2:$C$6)*{1,2,3,4,5}),"P1","P2","P3","P4","P5"),""))</f>
        <v/>
      </c>
      <c r="I140" s="0" t="n">
        <f aca="false">IF(F140="",0,IFERROR(VALUE(LEFT(TRIM(F140),FIND(" ",TRIM(F140))-1)),0))</f>
        <v>0</v>
      </c>
    </row>
    <row r="141" customFormat="false" ht="15.75" hidden="false" customHeight="false" outlineLevel="0" collapsed="false">
      <c r="H141" s="0" t="str">
        <f aca="false">IF(A141="","",IFERROR(CHOOSE(SUMPRODUCT((A141&gt;=Calendari!$B$2:$B$6)*(A141&lt;=Calendari!$C$2:$C$6)*{1,2,3,4,5}),"P1","P2","P3","P4","P5"),""))</f>
        <v/>
      </c>
      <c r="I141" s="0" t="n">
        <f aca="false">IF(F141="",0,IFERROR(VALUE(LEFT(TRIM(F141),FIND(" ",TRIM(F141))-1)),0))</f>
        <v>0</v>
      </c>
    </row>
    <row r="142" customFormat="false" ht="15.75" hidden="false" customHeight="false" outlineLevel="0" collapsed="false">
      <c r="H142" s="0" t="str">
        <f aca="false">IF(A142="","",IFERROR(CHOOSE(SUMPRODUCT((A142&gt;=Calendari!$B$2:$B$6)*(A142&lt;=Calendari!$C$2:$C$6)*{1,2,3,4,5}),"P1","P2","P3","P4","P5"),""))</f>
        <v/>
      </c>
      <c r="I142" s="0" t="n">
        <f aca="false">IF(F142="",0,IFERROR(VALUE(LEFT(TRIM(F142),FIND(" ",TRIM(F142))-1)),0))</f>
        <v>0</v>
      </c>
    </row>
    <row r="143" customFormat="false" ht="15.75" hidden="false" customHeight="false" outlineLevel="0" collapsed="false">
      <c r="H143" s="0" t="str">
        <f aca="false">IF(A143="","",IFERROR(CHOOSE(SUMPRODUCT((A143&gt;=Calendari!$B$2:$B$6)*(A143&lt;=Calendari!$C$2:$C$6)*{1,2,3,4,5}),"P1","P2","P3","P4","P5"),""))</f>
        <v/>
      </c>
      <c r="I143" s="0" t="n">
        <f aca="false">IF(F143="",0,IFERROR(VALUE(LEFT(TRIM(F143),FIND(" ",TRIM(F143))-1)),0))</f>
        <v>0</v>
      </c>
    </row>
    <row r="144" customFormat="false" ht="15.75" hidden="false" customHeight="false" outlineLevel="0" collapsed="false">
      <c r="H144" s="0" t="str">
        <f aca="false">IF(A144="","",IFERROR(CHOOSE(SUMPRODUCT((A144&gt;=Calendari!$B$2:$B$6)*(A144&lt;=Calendari!$C$2:$C$6)*{1,2,3,4,5}),"P1","P2","P3","P4","P5"),""))</f>
        <v/>
      </c>
      <c r="I144" s="0" t="n">
        <f aca="false">IF(F144="",0,IFERROR(VALUE(LEFT(TRIM(F144),FIND(" ",TRIM(F144))-1)),0))</f>
        <v>0</v>
      </c>
    </row>
    <row r="145" customFormat="false" ht="15.75" hidden="false" customHeight="false" outlineLevel="0" collapsed="false">
      <c r="H145" s="0" t="str">
        <f aca="false">IF(A145="","",IFERROR(CHOOSE(SUMPRODUCT((A145&gt;=Calendari!$B$2:$B$6)*(A145&lt;=Calendari!$C$2:$C$6)*{1,2,3,4,5}),"P1","P2","P3","P4","P5"),""))</f>
        <v/>
      </c>
      <c r="I145" s="0" t="n">
        <f aca="false">IF(F145="",0,IFERROR(VALUE(LEFT(TRIM(F145),FIND(" ",TRIM(F145))-1)),0))</f>
        <v>0</v>
      </c>
    </row>
    <row r="146" customFormat="false" ht="15.75" hidden="false" customHeight="false" outlineLevel="0" collapsed="false">
      <c r="H146" s="0" t="str">
        <f aca="false">IF(A146="","",IFERROR(CHOOSE(SUMPRODUCT((A146&gt;=Calendari!$B$2:$B$6)*(A146&lt;=Calendari!$C$2:$C$6)*{1,2,3,4,5}),"P1","P2","P3","P4","P5"),""))</f>
        <v/>
      </c>
      <c r="I146" s="0" t="n">
        <f aca="false">IF(F146="",0,IFERROR(VALUE(LEFT(TRIM(F146),FIND(" ",TRIM(F146))-1)),0))</f>
        <v>0</v>
      </c>
    </row>
    <row r="147" customFormat="false" ht="15.75" hidden="false" customHeight="false" outlineLevel="0" collapsed="false">
      <c r="H147" s="0" t="str">
        <f aca="false">IF(A147="","",IFERROR(CHOOSE(SUMPRODUCT((A147&gt;=Calendari!$B$2:$B$6)*(A147&lt;=Calendari!$C$2:$C$6)*{1,2,3,4,5}),"P1","P2","P3","P4","P5"),""))</f>
        <v/>
      </c>
      <c r="I147" s="0" t="n">
        <f aca="false">IF(F147="",0,IFERROR(VALUE(LEFT(TRIM(F147),FIND(" ",TRIM(F147))-1)),0))</f>
        <v>0</v>
      </c>
    </row>
    <row r="148" customFormat="false" ht="15.75" hidden="false" customHeight="false" outlineLevel="0" collapsed="false">
      <c r="H148" s="0" t="str">
        <f aca="false">IF(A148="","",IFERROR(CHOOSE(SUMPRODUCT((A148&gt;=Calendari!$B$2:$B$6)*(A148&lt;=Calendari!$C$2:$C$6)*{1,2,3,4,5}),"P1","P2","P3","P4","P5"),""))</f>
        <v/>
      </c>
      <c r="I148" s="0" t="n">
        <f aca="false">IF(F148="",0,IFERROR(VALUE(LEFT(TRIM(F148),FIND(" ",TRIM(F148))-1)),0))</f>
        <v>0</v>
      </c>
    </row>
    <row r="149" customFormat="false" ht="15.75" hidden="false" customHeight="false" outlineLevel="0" collapsed="false">
      <c r="H149" s="0" t="str">
        <f aca="false">IF(A149="","",IFERROR(CHOOSE(SUMPRODUCT((A149&gt;=Calendari!$B$2:$B$6)*(A149&lt;=Calendari!$C$2:$C$6)*{1,2,3,4,5}),"P1","P2","P3","P4","P5"),""))</f>
        <v/>
      </c>
      <c r="I149" s="0" t="n">
        <f aca="false">IF(F149="",0,IFERROR(VALUE(LEFT(TRIM(F149),FIND(" ",TRIM(F149))-1)),0))</f>
        <v>0</v>
      </c>
    </row>
    <row r="150" customFormat="false" ht="15.75" hidden="false" customHeight="false" outlineLevel="0" collapsed="false">
      <c r="H150" s="0" t="str">
        <f aca="false">IF(A150="","",IFERROR(CHOOSE(SUMPRODUCT((A150&gt;=Calendari!$B$2:$B$6)*(A150&lt;=Calendari!$C$2:$C$6)*{1,2,3,4,5}),"P1","P2","P3","P4","P5"),""))</f>
        <v/>
      </c>
      <c r="I150" s="0" t="n">
        <f aca="false">IF(F150="",0,IFERROR(VALUE(LEFT(TRIM(F150),FIND(" ",TRIM(F150))-1)),0))</f>
        <v>0</v>
      </c>
    </row>
    <row r="151" customFormat="false" ht="15.75" hidden="false" customHeight="false" outlineLevel="0" collapsed="false">
      <c r="H151" s="0" t="str">
        <f aca="false">IF(A151="","",IFERROR(CHOOSE(SUMPRODUCT((A151&gt;=Calendari!$B$2:$B$6)*(A151&lt;=Calendari!$C$2:$C$6)*{1,2,3,4,5}),"P1","P2","P3","P4","P5"),""))</f>
        <v/>
      </c>
      <c r="I151" s="0" t="n">
        <f aca="false">IF(F151="",0,IFERROR(VALUE(LEFT(TRIM(F151),FIND(" ",TRIM(F151))-1)),0))</f>
        <v>0</v>
      </c>
    </row>
    <row r="152" customFormat="false" ht="15.75" hidden="false" customHeight="false" outlineLevel="0" collapsed="false">
      <c r="H152" s="0" t="str">
        <f aca="false">IF(A152="","",IFERROR(CHOOSE(SUMPRODUCT((A152&gt;=Calendari!$B$2:$B$6)*(A152&lt;=Calendari!$C$2:$C$6)*{1,2,3,4,5}),"P1","P2","P3","P4","P5"),""))</f>
        <v/>
      </c>
      <c r="I152" s="0" t="n">
        <f aca="false">IF(F152="",0,IFERROR(VALUE(LEFT(TRIM(F152),FIND(" ",TRIM(F152))-1)),0))</f>
        <v>0</v>
      </c>
    </row>
    <row r="153" customFormat="false" ht="15.75" hidden="false" customHeight="false" outlineLevel="0" collapsed="false">
      <c r="H153" s="0" t="str">
        <f aca="false">IF(A153="","",IFERROR(CHOOSE(SUMPRODUCT((A153&gt;=Calendari!$B$2:$B$6)*(A153&lt;=Calendari!$C$2:$C$6)*{1,2,3,4,5}),"P1","P2","P3","P4","P5"),""))</f>
        <v/>
      </c>
      <c r="I153" s="0" t="n">
        <f aca="false">IF(F153="",0,IFERROR(VALUE(LEFT(TRIM(F153),FIND(" ",TRIM(F153))-1)),0))</f>
        <v>0</v>
      </c>
    </row>
    <row r="154" customFormat="false" ht="15.75" hidden="false" customHeight="false" outlineLevel="0" collapsed="false">
      <c r="H154" s="0" t="str">
        <f aca="false">IF(A154="","",IFERROR(CHOOSE(SUMPRODUCT((A154&gt;=Calendari!$B$2:$B$6)*(A154&lt;=Calendari!$C$2:$C$6)*{1,2,3,4,5}),"P1","P2","P3","P4","P5"),""))</f>
        <v/>
      </c>
      <c r="I154" s="0" t="n">
        <f aca="false">IF(F154="",0,IFERROR(VALUE(LEFT(TRIM(F154),FIND(" ",TRIM(F154))-1)),0))</f>
        <v>0</v>
      </c>
    </row>
    <row r="155" customFormat="false" ht="15.75" hidden="false" customHeight="false" outlineLevel="0" collapsed="false">
      <c r="H155" s="0" t="str">
        <f aca="false">IF(A155="","",IFERROR(CHOOSE(SUMPRODUCT((A155&gt;=Calendari!$B$2:$B$6)*(A155&lt;=Calendari!$C$2:$C$6)*{1,2,3,4,5}),"P1","P2","P3","P4","P5"),""))</f>
        <v/>
      </c>
      <c r="I155" s="0" t="n">
        <f aca="false">IF(F155="",0,IFERROR(VALUE(LEFT(TRIM(F155),FIND(" ",TRIM(F155))-1)),0))</f>
        <v>0</v>
      </c>
    </row>
    <row r="156" customFormat="false" ht="15.75" hidden="false" customHeight="false" outlineLevel="0" collapsed="false">
      <c r="H156" s="0" t="str">
        <f aca="false">IF(A156="","",IFERROR(CHOOSE(SUMPRODUCT((A156&gt;=Calendari!$B$2:$B$6)*(A156&lt;=Calendari!$C$2:$C$6)*{1,2,3,4,5}),"P1","P2","P3","P4","P5"),""))</f>
        <v/>
      </c>
      <c r="I156" s="0" t="n">
        <f aca="false">IF(F156="",0,IFERROR(VALUE(LEFT(TRIM(F156),FIND(" ",TRIM(F156))-1)),0))</f>
        <v>0</v>
      </c>
    </row>
    <row r="157" customFormat="false" ht="15.75" hidden="false" customHeight="false" outlineLevel="0" collapsed="false">
      <c r="H157" s="0" t="str">
        <f aca="false">IF(A157="","",IFERROR(CHOOSE(SUMPRODUCT((A157&gt;=Calendari!$B$2:$B$6)*(A157&lt;=Calendari!$C$2:$C$6)*{1,2,3,4,5}),"P1","P2","P3","P4","P5"),""))</f>
        <v/>
      </c>
      <c r="I157" s="0" t="n">
        <f aca="false">IF(F157="",0,IFERROR(VALUE(LEFT(TRIM(F157),FIND(" ",TRIM(F157))-1)),0))</f>
        <v>0</v>
      </c>
    </row>
    <row r="158" customFormat="false" ht="15.75" hidden="false" customHeight="false" outlineLevel="0" collapsed="false">
      <c r="H158" s="0" t="str">
        <f aca="false">IF(A158="","",IFERROR(CHOOSE(SUMPRODUCT((A158&gt;=Calendari!$B$2:$B$6)*(A158&lt;=Calendari!$C$2:$C$6)*{1,2,3,4,5}),"P1","P2","P3","P4","P5"),""))</f>
        <v/>
      </c>
      <c r="I158" s="0" t="n">
        <f aca="false">IF(F158="",0,IFERROR(VALUE(LEFT(TRIM(F158),FIND(" ",TRIM(F158))-1)),0))</f>
        <v>0</v>
      </c>
    </row>
    <row r="159" customFormat="false" ht="15.75" hidden="false" customHeight="false" outlineLevel="0" collapsed="false">
      <c r="H159" s="0" t="str">
        <f aca="false">IF(A159="","",IFERROR(CHOOSE(SUMPRODUCT((A159&gt;=Calendari!$B$2:$B$6)*(A159&lt;=Calendari!$C$2:$C$6)*{1,2,3,4,5}),"P1","P2","P3","P4","P5"),""))</f>
        <v/>
      </c>
      <c r="I159" s="0" t="n">
        <f aca="false">IF(F159="",0,IFERROR(VALUE(LEFT(TRIM(F159),FIND(" ",TRIM(F159))-1)),0))</f>
        <v>0</v>
      </c>
    </row>
    <row r="160" customFormat="false" ht="15.75" hidden="false" customHeight="false" outlineLevel="0" collapsed="false">
      <c r="H160" s="0" t="str">
        <f aca="false">IF(A160="","",IFERROR(CHOOSE(SUMPRODUCT((A160&gt;=Calendari!$B$2:$B$6)*(A160&lt;=Calendari!$C$2:$C$6)*{1,2,3,4,5}),"P1","P2","P3","P4","P5"),""))</f>
        <v/>
      </c>
      <c r="I160" s="0" t="n">
        <f aca="false">IF(F160="",0,IFERROR(VALUE(LEFT(TRIM(F160),FIND(" ",TRIM(F160))-1)),0))</f>
        <v>0</v>
      </c>
    </row>
    <row r="161" customFormat="false" ht="15.75" hidden="false" customHeight="false" outlineLevel="0" collapsed="false">
      <c r="H161" s="0" t="str">
        <f aca="false">IF(A161="","",IFERROR(CHOOSE(SUMPRODUCT((A161&gt;=Calendari!$B$2:$B$6)*(A161&lt;=Calendari!$C$2:$C$6)*{1,2,3,4,5}),"P1","P2","P3","P4","P5"),""))</f>
        <v/>
      </c>
      <c r="I161" s="0" t="n">
        <f aca="false">IF(F161="",0,IFERROR(VALUE(LEFT(TRIM(F161),FIND(" ",TRIM(F161))-1)),0))</f>
        <v>0</v>
      </c>
    </row>
    <row r="162" customFormat="false" ht="15.75" hidden="false" customHeight="false" outlineLevel="0" collapsed="false">
      <c r="H162" s="0" t="str">
        <f aca="false">IF(A162="","",IFERROR(CHOOSE(SUMPRODUCT((A162&gt;=Calendari!$B$2:$B$6)*(A162&lt;=Calendari!$C$2:$C$6)*{1,2,3,4,5}),"P1","P2","P3","P4","P5"),""))</f>
        <v/>
      </c>
      <c r="I162" s="0" t="n">
        <f aca="false">IF(F162="",0,IFERROR(VALUE(LEFT(TRIM(F162),FIND(" ",TRIM(F162))-1)),0))</f>
        <v>0</v>
      </c>
    </row>
    <row r="163" customFormat="false" ht="15.75" hidden="false" customHeight="false" outlineLevel="0" collapsed="false">
      <c r="H163" s="0" t="str">
        <f aca="false">IF(A163="","",IFERROR(CHOOSE(SUMPRODUCT((A163&gt;=Calendari!$B$2:$B$6)*(A163&lt;=Calendari!$C$2:$C$6)*{1,2,3,4,5}),"P1","P2","P3","P4","P5"),""))</f>
        <v/>
      </c>
      <c r="I163" s="0" t="n">
        <f aca="false">IF(F163="",0,IFERROR(VALUE(LEFT(TRIM(F163),FIND(" ",TRIM(F163))-1)),0))</f>
        <v>0</v>
      </c>
    </row>
    <row r="164" customFormat="false" ht="15.75" hidden="false" customHeight="false" outlineLevel="0" collapsed="false">
      <c r="H164" s="0" t="str">
        <f aca="false">IF(A164="","",IFERROR(CHOOSE(SUMPRODUCT((A164&gt;=Calendari!$B$2:$B$6)*(A164&lt;=Calendari!$C$2:$C$6)*{1,2,3,4,5}),"P1","P2","P3","P4","P5"),""))</f>
        <v/>
      </c>
      <c r="I164" s="0" t="n">
        <f aca="false">IF(F164="",0,IFERROR(VALUE(LEFT(TRIM(F164),FIND(" ",TRIM(F164))-1)),0))</f>
        <v>0</v>
      </c>
    </row>
    <row r="165" customFormat="false" ht="15.75" hidden="false" customHeight="false" outlineLevel="0" collapsed="false">
      <c r="H165" s="0" t="str">
        <f aca="false">IF(A165="","",IFERROR(CHOOSE(SUMPRODUCT((A165&gt;=Calendari!$B$2:$B$6)*(A165&lt;=Calendari!$C$2:$C$6)*{1,2,3,4,5}),"P1","P2","P3","P4","P5"),""))</f>
        <v/>
      </c>
      <c r="I165" s="0" t="n">
        <f aca="false">IF(F165="",0,IFERROR(VALUE(LEFT(TRIM(F165),FIND(" ",TRIM(F165))-1)),0))</f>
        <v>0</v>
      </c>
    </row>
    <row r="166" customFormat="false" ht="15.75" hidden="false" customHeight="false" outlineLevel="0" collapsed="false">
      <c r="H166" s="0" t="str">
        <f aca="false">IF(A166="","",IFERROR(CHOOSE(SUMPRODUCT((A166&gt;=Calendari!$B$2:$B$6)*(A166&lt;=Calendari!$C$2:$C$6)*{1,2,3,4,5}),"P1","P2","P3","P4","P5"),""))</f>
        <v/>
      </c>
      <c r="I166" s="0" t="n">
        <f aca="false">IF(F166="",0,IFERROR(VALUE(LEFT(TRIM(F166),FIND(" ",TRIM(F166))-1)),0))</f>
        <v>0</v>
      </c>
    </row>
    <row r="167" customFormat="false" ht="15.75" hidden="false" customHeight="false" outlineLevel="0" collapsed="false">
      <c r="H167" s="0" t="str">
        <f aca="false">IF(A167="","",IFERROR(CHOOSE(SUMPRODUCT((A167&gt;=Calendari!$B$2:$B$6)*(A167&lt;=Calendari!$C$2:$C$6)*{1,2,3,4,5}),"P1","P2","P3","P4","P5"),""))</f>
        <v/>
      </c>
      <c r="I167" s="0" t="n">
        <f aca="false">IF(F167="",0,IFERROR(VALUE(LEFT(TRIM(F167),FIND(" ",TRIM(F167))-1)),0))</f>
        <v>0</v>
      </c>
    </row>
    <row r="168" customFormat="false" ht="15.75" hidden="false" customHeight="false" outlineLevel="0" collapsed="false">
      <c r="H168" s="0" t="str">
        <f aca="false">IF(A168="","",IFERROR(CHOOSE(SUMPRODUCT((A168&gt;=Calendari!$B$2:$B$6)*(A168&lt;=Calendari!$C$2:$C$6)*{1,2,3,4,5}),"P1","P2","P3","P4","P5"),""))</f>
        <v/>
      </c>
      <c r="I168" s="0" t="n">
        <f aca="false">IF(F168="",0,IFERROR(VALUE(LEFT(TRIM(F168),FIND(" ",TRIM(F168))-1)),0))</f>
        <v>0</v>
      </c>
    </row>
    <row r="169" customFormat="false" ht="15.75" hidden="false" customHeight="false" outlineLevel="0" collapsed="false">
      <c r="H169" s="0" t="str">
        <f aca="false">IF(A169="","",IFERROR(CHOOSE(SUMPRODUCT((A169&gt;=Calendari!$B$2:$B$6)*(A169&lt;=Calendari!$C$2:$C$6)*{1,2,3,4,5}),"P1","P2","P3","P4","P5"),""))</f>
        <v/>
      </c>
      <c r="I169" s="0" t="n">
        <f aca="false">IF(F169="",0,IFERROR(VALUE(LEFT(TRIM(F169),FIND(" ",TRIM(F169))-1)),0))</f>
        <v>0</v>
      </c>
    </row>
    <row r="170" customFormat="false" ht="15.75" hidden="false" customHeight="false" outlineLevel="0" collapsed="false">
      <c r="H170" s="0" t="str">
        <f aca="false">IF(A170="","",IFERROR(CHOOSE(SUMPRODUCT((A170&gt;=Calendari!$B$2:$B$6)*(A170&lt;=Calendari!$C$2:$C$6)*{1,2,3,4,5}),"P1","P2","P3","P4","P5"),""))</f>
        <v/>
      </c>
      <c r="I170" s="0" t="n">
        <f aca="false">IF(F170="",0,IFERROR(VALUE(LEFT(TRIM(F170),FIND(" ",TRIM(F170))-1)),0))</f>
        <v>0</v>
      </c>
    </row>
    <row r="171" customFormat="false" ht="15.75" hidden="false" customHeight="false" outlineLevel="0" collapsed="false">
      <c r="H171" s="0" t="str">
        <f aca="false">IF(A171="","",IFERROR(CHOOSE(SUMPRODUCT((A171&gt;=Calendari!$B$2:$B$6)*(A171&lt;=Calendari!$C$2:$C$6)*{1,2,3,4,5}),"P1","P2","P3","P4","P5"),""))</f>
        <v/>
      </c>
      <c r="I171" s="0" t="n">
        <f aca="false">IF(F171="",0,IFERROR(VALUE(LEFT(TRIM(F171),FIND(" ",TRIM(F171))-1)),0))</f>
        <v>0</v>
      </c>
    </row>
    <row r="172" customFormat="false" ht="15.75" hidden="false" customHeight="false" outlineLevel="0" collapsed="false">
      <c r="H172" s="0" t="str">
        <f aca="false">IF(A172="","",IFERROR(CHOOSE(SUMPRODUCT((A172&gt;=Calendari!$B$2:$B$6)*(A172&lt;=Calendari!$C$2:$C$6)*{1,2,3,4,5}),"P1","P2","P3","P4","P5"),""))</f>
        <v/>
      </c>
      <c r="I172" s="0" t="n">
        <f aca="false">IF(F172="",0,IFERROR(VALUE(LEFT(TRIM(F172),FIND(" ",TRIM(F172))-1)),0))</f>
        <v>0</v>
      </c>
    </row>
    <row r="173" customFormat="false" ht="15.75" hidden="false" customHeight="false" outlineLevel="0" collapsed="false">
      <c r="H173" s="0" t="str">
        <f aca="false">IF(A173="","",IFERROR(CHOOSE(SUMPRODUCT((A173&gt;=Calendari!$B$2:$B$6)*(A173&lt;=Calendari!$C$2:$C$6)*{1,2,3,4,5}),"P1","P2","P3","P4","P5"),""))</f>
        <v/>
      </c>
      <c r="I173" s="0" t="n">
        <f aca="false">IF(F173="",0,IFERROR(VALUE(LEFT(TRIM(F173),FIND(" ",TRIM(F173))-1)),0))</f>
        <v>0</v>
      </c>
    </row>
    <row r="174" customFormat="false" ht="15.75" hidden="false" customHeight="false" outlineLevel="0" collapsed="false">
      <c r="H174" s="0" t="str">
        <f aca="false">IF(A174="","",IFERROR(CHOOSE(SUMPRODUCT((A174&gt;=Calendari!$B$2:$B$6)*(A174&lt;=Calendari!$C$2:$C$6)*{1,2,3,4,5}),"P1","P2","P3","P4","P5"),""))</f>
        <v/>
      </c>
      <c r="I174" s="0" t="n">
        <f aca="false">IF(F174="",0,IFERROR(VALUE(LEFT(TRIM(F174),FIND(" ",TRIM(F174))-1)),0))</f>
        <v>0</v>
      </c>
    </row>
    <row r="175" customFormat="false" ht="15.75" hidden="false" customHeight="false" outlineLevel="0" collapsed="false">
      <c r="H175" s="0" t="str">
        <f aca="false">IF(A175="","",IFERROR(CHOOSE(SUMPRODUCT((A175&gt;=Calendari!$B$2:$B$6)*(A175&lt;=Calendari!$C$2:$C$6)*{1,2,3,4,5}),"P1","P2","P3","P4","P5"),""))</f>
        <v/>
      </c>
      <c r="I175" s="0" t="n">
        <f aca="false">IF(F175="",0,IFERROR(VALUE(LEFT(TRIM(F175),FIND(" ",TRIM(F175))-1)),0))</f>
        <v>0</v>
      </c>
    </row>
    <row r="176" customFormat="false" ht="15.75" hidden="false" customHeight="false" outlineLevel="0" collapsed="false">
      <c r="H176" s="0" t="str">
        <f aca="false">IF(A176="","",IFERROR(CHOOSE(SUMPRODUCT((A176&gt;=Calendari!$B$2:$B$6)*(A176&lt;=Calendari!$C$2:$C$6)*{1,2,3,4,5}),"P1","P2","P3","P4","P5"),""))</f>
        <v/>
      </c>
      <c r="I176" s="0" t="n">
        <f aca="false">IF(F176="",0,IFERROR(VALUE(LEFT(TRIM(F176),FIND(" ",TRIM(F176))-1)),0))</f>
        <v>0</v>
      </c>
    </row>
    <row r="177" customFormat="false" ht="15.75" hidden="false" customHeight="false" outlineLevel="0" collapsed="false">
      <c r="H177" s="0" t="str">
        <f aca="false">IF(A177="","",IFERROR(CHOOSE(SUMPRODUCT((A177&gt;=Calendari!$B$2:$B$6)*(A177&lt;=Calendari!$C$2:$C$6)*{1,2,3,4,5}),"P1","P2","P3","P4","P5"),""))</f>
        <v/>
      </c>
      <c r="I177" s="0" t="n">
        <f aca="false">IF(F177="",0,IFERROR(VALUE(LEFT(TRIM(F177),FIND(" ",TRIM(F177))-1)),0))</f>
        <v>0</v>
      </c>
    </row>
    <row r="178" customFormat="false" ht="15.75" hidden="false" customHeight="false" outlineLevel="0" collapsed="false">
      <c r="H178" s="0" t="str">
        <f aca="false">IF(A178="","",IFERROR(CHOOSE(SUMPRODUCT((A178&gt;=Calendari!$B$2:$B$6)*(A178&lt;=Calendari!$C$2:$C$6)*{1,2,3,4,5}),"P1","P2","P3","P4","P5"),""))</f>
        <v/>
      </c>
      <c r="I178" s="0" t="n">
        <f aca="false">IF(F178="",0,IFERROR(VALUE(LEFT(TRIM(F178),FIND(" ",TRIM(F178))-1)),0))</f>
        <v>0</v>
      </c>
    </row>
    <row r="179" customFormat="false" ht="15.75" hidden="false" customHeight="false" outlineLevel="0" collapsed="false">
      <c r="H179" s="0" t="str">
        <f aca="false">IF(A179="","",IFERROR(CHOOSE(SUMPRODUCT((A179&gt;=Calendari!$B$2:$B$6)*(A179&lt;=Calendari!$C$2:$C$6)*{1,2,3,4,5}),"P1","P2","P3","P4","P5"),""))</f>
        <v/>
      </c>
      <c r="I179" s="0" t="n">
        <f aca="false">IF(F179="",0,IFERROR(VALUE(LEFT(TRIM(F179),FIND(" ",TRIM(F179))-1)),0))</f>
        <v>0</v>
      </c>
    </row>
    <row r="180" customFormat="false" ht="15.75" hidden="false" customHeight="false" outlineLevel="0" collapsed="false">
      <c r="H180" s="0" t="str">
        <f aca="false">IF(A180="","",IFERROR(CHOOSE(SUMPRODUCT((A180&gt;=Calendari!$B$2:$B$6)*(A180&lt;=Calendari!$C$2:$C$6)*{1,2,3,4,5}),"P1","P2","P3","P4","P5"),""))</f>
        <v/>
      </c>
      <c r="I180" s="0" t="n">
        <f aca="false">IF(F180="",0,IFERROR(VALUE(LEFT(TRIM(F180),FIND(" ",TRIM(F180))-1)),0))</f>
        <v>0</v>
      </c>
    </row>
    <row r="181" customFormat="false" ht="15.75" hidden="false" customHeight="false" outlineLevel="0" collapsed="false">
      <c r="H181" s="0" t="str">
        <f aca="false">IF(A181="","",IFERROR(CHOOSE(SUMPRODUCT((A181&gt;=Calendari!$B$2:$B$6)*(A181&lt;=Calendari!$C$2:$C$6)*{1,2,3,4,5}),"P1","P2","P3","P4","P5"),""))</f>
        <v/>
      </c>
      <c r="I181" s="0" t="n">
        <f aca="false">IF(F181="",0,IFERROR(VALUE(LEFT(TRIM(F181),FIND(" ",TRIM(F181))-1)),0))</f>
        <v>0</v>
      </c>
    </row>
    <row r="182" customFormat="false" ht="15.75" hidden="false" customHeight="false" outlineLevel="0" collapsed="false">
      <c r="H182" s="0" t="str">
        <f aca="false">IF(A182="","",IFERROR(CHOOSE(SUMPRODUCT((A182&gt;=Calendari!$B$2:$B$6)*(A182&lt;=Calendari!$C$2:$C$6)*{1,2,3,4,5}),"P1","P2","P3","P4","P5"),""))</f>
        <v/>
      </c>
      <c r="I182" s="0" t="n">
        <f aca="false">IF(F182="",0,IFERROR(VALUE(LEFT(TRIM(F182),FIND(" ",TRIM(F182))-1)),0))</f>
        <v>0</v>
      </c>
    </row>
    <row r="183" customFormat="false" ht="15.75" hidden="false" customHeight="false" outlineLevel="0" collapsed="false">
      <c r="H183" s="0" t="str">
        <f aca="false">IF(A183="","",IFERROR(CHOOSE(SUMPRODUCT((A183&gt;=Calendari!$B$2:$B$6)*(A183&lt;=Calendari!$C$2:$C$6)*{1,2,3,4,5}),"P1","P2","P3","P4","P5"),""))</f>
        <v/>
      </c>
      <c r="I183" s="0" t="n">
        <f aca="false">IF(F183="",0,IFERROR(VALUE(LEFT(TRIM(F183),FIND(" ",TRIM(F183))-1)),0))</f>
        <v>0</v>
      </c>
    </row>
    <row r="184" customFormat="false" ht="15.75" hidden="false" customHeight="false" outlineLevel="0" collapsed="false">
      <c r="H184" s="0" t="str">
        <f aca="false">IF(A184="","",IFERROR(CHOOSE(SUMPRODUCT((A184&gt;=Calendari!$B$2:$B$6)*(A184&lt;=Calendari!$C$2:$C$6)*{1,2,3,4,5}),"P1","P2","P3","P4","P5"),""))</f>
        <v/>
      </c>
      <c r="I184" s="0" t="n">
        <f aca="false">IF(F184="",0,IFERROR(VALUE(LEFT(TRIM(F184),FIND(" ",TRIM(F184))-1)),0))</f>
        <v>0</v>
      </c>
    </row>
    <row r="185" customFormat="false" ht="15.75" hidden="false" customHeight="false" outlineLevel="0" collapsed="false">
      <c r="H185" s="0" t="str">
        <f aca="false">IF(A185="","",IFERROR(CHOOSE(SUMPRODUCT((A185&gt;=Calendari!$B$2:$B$6)*(A185&lt;=Calendari!$C$2:$C$6)*{1,2,3,4,5}),"P1","P2","P3","P4","P5"),""))</f>
        <v/>
      </c>
      <c r="I185" s="0" t="n">
        <f aca="false">IF(F185="",0,IFERROR(VALUE(LEFT(TRIM(F185),FIND(" ",TRIM(F185))-1)),0))</f>
        <v>0</v>
      </c>
    </row>
    <row r="186" customFormat="false" ht="15.75" hidden="false" customHeight="false" outlineLevel="0" collapsed="false">
      <c r="H186" s="0" t="str">
        <f aca="false">IF(A186="","",IFERROR(CHOOSE(SUMPRODUCT((A186&gt;=Calendari!$B$2:$B$6)*(A186&lt;=Calendari!$C$2:$C$6)*{1,2,3,4,5}),"P1","P2","P3","P4","P5"),""))</f>
        <v/>
      </c>
      <c r="I186" s="0" t="n">
        <f aca="false">IF(F186="",0,IFERROR(VALUE(LEFT(TRIM(F186),FIND(" ",TRIM(F186))-1)),0))</f>
        <v>0</v>
      </c>
    </row>
    <row r="187" customFormat="false" ht="15.75" hidden="false" customHeight="false" outlineLevel="0" collapsed="false">
      <c r="H187" s="0" t="str">
        <f aca="false">IF(A187="","",IFERROR(CHOOSE(SUMPRODUCT((A187&gt;=Calendari!$B$2:$B$6)*(A187&lt;=Calendari!$C$2:$C$6)*{1,2,3,4,5}),"P1","P2","P3","P4","P5"),""))</f>
        <v/>
      </c>
      <c r="I187" s="0" t="n">
        <f aca="false">IF(F187="",0,IFERROR(VALUE(LEFT(TRIM(F187),FIND(" ",TRIM(F187))-1)),0))</f>
        <v>0</v>
      </c>
    </row>
    <row r="188" customFormat="false" ht="15.75" hidden="false" customHeight="false" outlineLevel="0" collapsed="false">
      <c r="H188" s="0" t="str">
        <f aca="false">IF(A188="","",IFERROR(CHOOSE(SUMPRODUCT((A188&gt;=Calendari!$B$2:$B$6)*(A188&lt;=Calendari!$C$2:$C$6)*{1,2,3,4,5}),"P1","P2","P3","P4","P5"),""))</f>
        <v/>
      </c>
      <c r="I188" s="0" t="n">
        <f aca="false">IF(F188="",0,IFERROR(VALUE(LEFT(TRIM(F188),FIND(" ",TRIM(F188))-1)),0))</f>
        <v>0</v>
      </c>
    </row>
    <row r="189" customFormat="false" ht="15.75" hidden="false" customHeight="false" outlineLevel="0" collapsed="false">
      <c r="H189" s="0" t="str">
        <f aca="false">IF(A189="","",IFERROR(CHOOSE(SUMPRODUCT((A189&gt;=Calendari!$B$2:$B$6)*(A189&lt;=Calendari!$C$2:$C$6)*{1,2,3,4,5}),"P1","P2","P3","P4","P5"),""))</f>
        <v/>
      </c>
      <c r="I189" s="0" t="n">
        <f aca="false">IF(F189="",0,IFERROR(VALUE(LEFT(TRIM(F189),FIND(" ",TRIM(F189))-1)),0))</f>
        <v>0</v>
      </c>
    </row>
    <row r="190" customFormat="false" ht="15.75" hidden="false" customHeight="false" outlineLevel="0" collapsed="false">
      <c r="H190" s="0" t="str">
        <f aca="false">IF(A190="","",IFERROR(CHOOSE(SUMPRODUCT((A190&gt;=Calendari!$B$2:$B$6)*(A190&lt;=Calendari!$C$2:$C$6)*{1,2,3,4,5}),"P1","P2","P3","P4","P5"),""))</f>
        <v/>
      </c>
      <c r="I190" s="0" t="n">
        <f aca="false">IF(F190="",0,IFERROR(VALUE(LEFT(TRIM(F190),FIND(" ",TRIM(F190))-1)),0))</f>
        <v>0</v>
      </c>
    </row>
    <row r="191" customFormat="false" ht="15.75" hidden="false" customHeight="false" outlineLevel="0" collapsed="false">
      <c r="H191" s="0" t="str">
        <f aca="false">IF(A191="","",IFERROR(CHOOSE(SUMPRODUCT((A191&gt;=Calendari!$B$2:$B$6)*(A191&lt;=Calendari!$C$2:$C$6)*{1,2,3,4,5}),"P1","P2","P3","P4","P5"),""))</f>
        <v/>
      </c>
      <c r="I191" s="0" t="n">
        <f aca="false">IF(F191="",0,IFERROR(VALUE(LEFT(TRIM(F191),FIND(" ",TRIM(F191))-1)),0))</f>
        <v>0</v>
      </c>
    </row>
    <row r="192" customFormat="false" ht="15.75" hidden="false" customHeight="false" outlineLevel="0" collapsed="false">
      <c r="H192" s="0" t="str">
        <f aca="false">IF(A192="","",IFERROR(CHOOSE(SUMPRODUCT((A192&gt;=Calendari!$B$2:$B$6)*(A192&lt;=Calendari!$C$2:$C$6)*{1,2,3,4,5}),"P1","P2","P3","P4","P5"),""))</f>
        <v/>
      </c>
      <c r="I192" s="0" t="n">
        <f aca="false">IF(F192="",0,IFERROR(VALUE(LEFT(TRIM(F192),FIND(" ",TRIM(F192))-1)),0))</f>
        <v>0</v>
      </c>
    </row>
    <row r="193" customFormat="false" ht="15.75" hidden="false" customHeight="false" outlineLevel="0" collapsed="false">
      <c r="H193" s="0" t="str">
        <f aca="false">IF(A193="","",IFERROR(CHOOSE(SUMPRODUCT((A193&gt;=Calendari!$B$2:$B$6)*(A193&lt;=Calendari!$C$2:$C$6)*{1,2,3,4,5}),"P1","P2","P3","P4","P5"),""))</f>
        <v/>
      </c>
      <c r="I193" s="0" t="n">
        <f aca="false">IF(F193="",0,IFERROR(VALUE(LEFT(TRIM(F193),FIND(" ",TRIM(F193))-1)),0))</f>
        <v>0</v>
      </c>
    </row>
    <row r="194" customFormat="false" ht="15.75" hidden="false" customHeight="false" outlineLevel="0" collapsed="false">
      <c r="H194" s="0" t="str">
        <f aca="false">IF(A194="","",IFERROR(CHOOSE(SUMPRODUCT((A194&gt;=Calendari!$B$2:$B$6)*(A194&lt;=Calendari!$C$2:$C$6)*{1,2,3,4,5}),"P1","P2","P3","P4","P5"),""))</f>
        <v/>
      </c>
      <c r="I194" s="0" t="n">
        <f aca="false">IF(F194="",0,IFERROR(VALUE(LEFT(TRIM(F194),FIND(" ",TRIM(F194))-1)),0))</f>
        <v>0</v>
      </c>
    </row>
    <row r="195" customFormat="false" ht="15.75" hidden="false" customHeight="false" outlineLevel="0" collapsed="false">
      <c r="H195" s="0" t="str">
        <f aca="false">IF(A195="","",IFERROR(CHOOSE(SUMPRODUCT((A195&gt;=Calendari!$B$2:$B$6)*(A195&lt;=Calendari!$C$2:$C$6)*{1,2,3,4,5}),"P1","P2","P3","P4","P5"),""))</f>
        <v/>
      </c>
      <c r="I195" s="0" t="n">
        <f aca="false">IF(F195="",0,IFERROR(VALUE(LEFT(TRIM(F195),FIND(" ",TRIM(F195))-1)),0))</f>
        <v>0</v>
      </c>
    </row>
    <row r="196" customFormat="false" ht="15.75" hidden="false" customHeight="false" outlineLevel="0" collapsed="false">
      <c r="H196" s="0" t="str">
        <f aca="false">IF(A196="","",IFERROR(CHOOSE(SUMPRODUCT((A196&gt;=Calendari!$B$2:$B$6)*(A196&lt;=Calendari!$C$2:$C$6)*{1,2,3,4,5}),"P1","P2","P3","P4","P5"),""))</f>
        <v/>
      </c>
      <c r="I196" s="0" t="n">
        <f aca="false">IF(F196="",0,IFERROR(VALUE(LEFT(TRIM(F196),FIND(" ",TRIM(F196))-1)),0))</f>
        <v>0</v>
      </c>
    </row>
    <row r="197" customFormat="false" ht="15.75" hidden="false" customHeight="false" outlineLevel="0" collapsed="false">
      <c r="H197" s="0" t="str">
        <f aca="false">IF(A197="","",IFERROR(CHOOSE(SUMPRODUCT((A197&gt;=Calendari!$B$2:$B$6)*(A197&lt;=Calendari!$C$2:$C$6)*{1,2,3,4,5}),"P1","P2","P3","P4","P5"),""))</f>
        <v/>
      </c>
      <c r="I197" s="0" t="n">
        <f aca="false">IF(F197="",0,IFERROR(VALUE(LEFT(TRIM(F197),FIND(" ",TRIM(F197))-1)),0))</f>
        <v>0</v>
      </c>
    </row>
    <row r="198" customFormat="false" ht="15.75" hidden="false" customHeight="false" outlineLevel="0" collapsed="false">
      <c r="H198" s="0" t="str">
        <f aca="false">IF(A198="","",IFERROR(CHOOSE(SUMPRODUCT((A198&gt;=Calendari!$B$2:$B$6)*(A198&lt;=Calendari!$C$2:$C$6)*{1,2,3,4,5}),"P1","P2","P3","P4","P5"),""))</f>
        <v/>
      </c>
      <c r="I198" s="0" t="n">
        <f aca="false">IF(F198="",0,IFERROR(VALUE(LEFT(TRIM(F198),FIND(" ",TRIM(F198))-1)),0))</f>
        <v>0</v>
      </c>
    </row>
    <row r="199" customFormat="false" ht="15.75" hidden="false" customHeight="false" outlineLevel="0" collapsed="false">
      <c r="H199" s="0" t="str">
        <f aca="false">IF(A199="","",IFERROR(CHOOSE(SUMPRODUCT((A199&gt;=Calendari!$B$2:$B$6)*(A199&lt;=Calendari!$C$2:$C$6)*{1,2,3,4,5}),"P1","P2","P3","P4","P5"),""))</f>
        <v/>
      </c>
      <c r="I199" s="0" t="n">
        <f aca="false">IF(F199="",0,IFERROR(VALUE(LEFT(TRIM(F199),FIND(" ",TRIM(F199))-1)),0))</f>
        <v>0</v>
      </c>
    </row>
    <row r="200" customFormat="false" ht="15.75" hidden="false" customHeight="false" outlineLevel="0" collapsed="false">
      <c r="H200" s="0" t="str">
        <f aca="false">IF(A200="","",IFERROR(CHOOSE(SUMPRODUCT((A200&gt;=Calendari!$B$2:$B$6)*(A200&lt;=Calendari!$C$2:$C$6)*{1,2,3,4,5}),"P1","P2","P3","P4","P5"),""))</f>
        <v/>
      </c>
      <c r="I200" s="0" t="n">
        <f aca="false">IF(F200="",0,IFERROR(VALUE(LEFT(TRIM(F200),FIND(" ",TRIM(F200))-1)),0))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36.5"/>
  </cols>
  <sheetData>
    <row r="1" customFormat="false" ht="15.75" hidden="false" customHeight="false" outlineLevel="0" collapsed="false">
      <c r="A1" s="1" t="s">
        <v>106</v>
      </c>
      <c r="B1" s="1"/>
      <c r="C1" s="1"/>
    </row>
    <row r="2" customFormat="false" ht="15.7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62</v>
      </c>
    </row>
    <row r="3" customFormat="false" ht="15.75" hidden="false" customHeight="false" outlineLevel="0" collapsed="false">
      <c r="A3" s="0" t="s">
        <v>107</v>
      </c>
      <c r="C3" s="0" t="s">
        <v>108</v>
      </c>
      <c r="D3" s="0" t="n">
        <f aca="false">IF($B3="",0,COUNTIFS(SMIX2CT!$D$2:$D$200,$B3,SMIX2CT!$H$2:$H$200,"P1"))</f>
        <v>0</v>
      </c>
      <c r="E3" s="0" t="n">
        <f aca="false">MAX(0.5,MIN(1.5,1+IF($B3="",0,SUMPRODUCT((SMIX2CT!$D$2:$D$200=$B3)*(SMIX2CT!$H$2:$H$200="P1")*SMIX2CT!$I$2:$I$200*0.01))))</f>
        <v>1</v>
      </c>
      <c r="F3" s="0" t="n">
        <f aca="false">IF($B3="",0,COUNTIFS(SMIX2CT!$D$2:$D$200,$B3,SMIX2CT!$H$2:$H$200,"P2"))</f>
        <v>0</v>
      </c>
      <c r="G3" s="0" t="n">
        <f aca="false">MAX(0.5,MIN(1.5,1+IF($B3="",0,SUMPRODUCT((SMIX2CT!$D$2:$D$200=$B3)*(SMIX2CT!$H$2:$H$200="P2")*SMIX2CT!$I$2:$I$200*0.01))))</f>
        <v>1</v>
      </c>
      <c r="H3" s="0" t="n">
        <f aca="false">IF($B3="",0,COUNTIFS(SMIX2CT!$D$2:$D$200,$B3,SMIX2CT!$H$2:$H$200,"P3"))</f>
        <v>0</v>
      </c>
      <c r="I3" s="0" t="n">
        <f aca="false">MAX(0.5,MIN(1.5,1+IF($B3="",0,SUMPRODUCT((SMIX2CT!$D$2:$D$200=$B3)*(SMIX2CT!$H$2:$H$200="P3")*SMIX2CT!$I$2:$I$200*0.01))))</f>
        <v>1</v>
      </c>
      <c r="J3" s="0" t="n">
        <f aca="false">IF($B3="",0,COUNTIFS(SMIX2CT!$D$2:$D$200,$B3,SMIX2CT!$H$2:$H$200,"P4"))</f>
        <v>0</v>
      </c>
      <c r="K3" s="0" t="n">
        <f aca="false">MAX(0.5,MIN(1.5,1+IF($B3="",0,SUMPRODUCT((SMIX2CT!$D$2:$D$200=$B3)*(SMIX2CT!$H$2:$H$200="P4")*SMIX2CT!$I$2:$I$200*0.01))))</f>
        <v>1</v>
      </c>
      <c r="L3" s="0" t="n">
        <f aca="false">IF($B3="",0,COUNTIFS(SMIX2CT!$D$2:$D$200,$B3,SMIX2CT!$H$2:$H$200,"P5"))</f>
        <v>0</v>
      </c>
      <c r="M3" s="0" t="n">
        <f aca="false">MAX(0.5,MIN(1.5,1+IF($B3="",0,SUMPRODUCT((SMIX2CT!$D$2:$D$200=$B3)*(SMIX2CT!$H$2:$H$200="P5")*SMIX2CT!$I$2:$I$200*0.01))))</f>
        <v>1</v>
      </c>
      <c r="N3" s="0" t="n">
        <f aca="false">IF($B3="",0,IFERROR(SUMPRODUCT((SMIX2CT!$D$2:$D$200=$B3)*SMIX2CT!$I$2:$I$200),0))</f>
        <v>0</v>
      </c>
      <c r="O3" s="0" t="n">
        <f aca="false">D3+F3+H3+J3+L3</f>
        <v>0</v>
      </c>
    </row>
    <row r="4" customFormat="false" ht="15.75" hidden="false" customHeight="false" outlineLevel="0" collapsed="false">
      <c r="A4" s="0" t="s">
        <v>109</v>
      </c>
      <c r="B4" s="0" t="s">
        <v>175</v>
      </c>
      <c r="C4" s="0" t="s">
        <v>110</v>
      </c>
      <c r="D4" s="0" t="n">
        <f aca="false">IF($B4="",0,COUNTIFS(SMIX2CT!$D$2:$D$200,$B4,SMIX2CT!$H$2:$H$200,"P1"))</f>
        <v>0</v>
      </c>
      <c r="E4" s="0" t="n">
        <f aca="false">MAX(0.5,MIN(1.5,1+IF($B4="",0,SUMPRODUCT((SMIX2CT!$D$2:$D$200=$B4)*(SMIX2CT!$H$2:$H$200="P1")*SMIX2CT!$I$2:$I$200*0.01))))</f>
        <v>1</v>
      </c>
      <c r="F4" s="0" t="n">
        <f aca="false">IF($B4="",0,COUNTIFS(SMIX2CT!$D$2:$D$200,$B4,SMIX2CT!$H$2:$H$200,"P2"))</f>
        <v>0</v>
      </c>
      <c r="G4" s="0" t="n">
        <f aca="false">MAX(0.5,MIN(1.5,1+IF($B4="",0,SUMPRODUCT((SMIX2CT!$D$2:$D$200=$B4)*(SMIX2CT!$H$2:$H$200="P2")*SMIX2CT!$I$2:$I$200*0.01))))</f>
        <v>1</v>
      </c>
      <c r="H4" s="0" t="n">
        <f aca="false">IF($B4="",0,COUNTIFS(SMIX2CT!$D$2:$D$200,$B4,SMIX2CT!$H$2:$H$200,"P3"))</f>
        <v>0</v>
      </c>
      <c r="I4" s="0" t="n">
        <f aca="false">MAX(0.5,MIN(1.5,1+IF($B4="",0,SUMPRODUCT((SMIX2CT!$D$2:$D$200=$B4)*(SMIX2CT!$H$2:$H$200="P3")*SMIX2CT!$I$2:$I$200*0.01))))</f>
        <v>1</v>
      </c>
      <c r="J4" s="0" t="n">
        <f aca="false">IF($B4="",0,COUNTIFS(SMIX2CT!$D$2:$D$200,$B4,SMIX2CT!$H$2:$H$200,"P4"))</f>
        <v>0</v>
      </c>
      <c r="K4" s="0" t="n">
        <f aca="false">MAX(0.5,MIN(1.5,1+IF($B4="",0,SUMPRODUCT((SMIX2CT!$D$2:$D$200=$B4)*(SMIX2CT!$H$2:$H$200="P4")*SMIX2CT!$I$2:$I$200*0.01))))</f>
        <v>1</v>
      </c>
      <c r="L4" s="0" t="n">
        <f aca="false">IF($B4="",0,COUNTIFS(SMIX2CT!$D$2:$D$200,$B4,SMIX2CT!$H$2:$H$200,"P5"))</f>
        <v>0</v>
      </c>
      <c r="M4" s="0" t="n">
        <f aca="false">MAX(0.5,MIN(1.5,1+IF($B4="",0,SUMPRODUCT((SMIX2CT!$D$2:$D$200=$B4)*(SMIX2CT!$H$2:$H$200="P5")*SMIX2CT!$I$2:$I$200*0.01))))</f>
        <v>1</v>
      </c>
      <c r="N4" s="0" t="n">
        <f aca="false">IF($B4="",0,IFERROR(SUMPRODUCT((SMIX2CT!$D$2:$D$200=$B4)*SMIX2CT!$I$2:$I$200),0))</f>
        <v>-1</v>
      </c>
      <c r="O4" s="0" t="n">
        <f aca="false">D4+F4+H4+J4+L4</f>
        <v>0</v>
      </c>
    </row>
    <row r="5" customFormat="false" ht="15.75" hidden="false" customHeight="false" outlineLevel="0" collapsed="false">
      <c r="A5" s="0" t="s">
        <v>111</v>
      </c>
      <c r="B5" s="0" t="s">
        <v>157</v>
      </c>
      <c r="C5" s="0" t="s">
        <v>112</v>
      </c>
      <c r="D5" s="0" t="n">
        <f aca="false">IF($B5="",0,COUNTIFS(SMIX2CT!$D$2:$D$200,$B5,SMIX2CT!$H$2:$H$200,"P1"))</f>
        <v>0</v>
      </c>
      <c r="E5" s="0" t="n">
        <f aca="false">MAX(0.5,MIN(1.5,1+IF($B5="",0,SUMPRODUCT((SMIX2CT!$D$2:$D$200=$B5)*(SMIX2CT!$H$2:$H$200="P1")*SMIX2CT!$I$2:$I$200*0.01))))</f>
        <v>1</v>
      </c>
      <c r="F5" s="0" t="n">
        <f aca="false">IF($B5="",0,COUNTIFS(SMIX2CT!$D$2:$D$200,$B5,SMIX2CT!$H$2:$H$200,"P2"))</f>
        <v>0</v>
      </c>
      <c r="G5" s="0" t="n">
        <f aca="false">MAX(0.5,MIN(1.5,1+IF($B5="",0,SUMPRODUCT((SMIX2CT!$D$2:$D$200=$B5)*(SMIX2CT!$H$2:$H$200="P2")*SMIX2CT!$I$2:$I$200*0.01))))</f>
        <v>1</v>
      </c>
      <c r="H5" s="0" t="n">
        <f aca="false">IF($B5="",0,COUNTIFS(SMIX2CT!$D$2:$D$200,$B5,SMIX2CT!$H$2:$H$200,"P3"))</f>
        <v>0</v>
      </c>
      <c r="I5" s="0" t="n">
        <f aca="false">MAX(0.5,MIN(1.5,1+IF($B5="",0,SUMPRODUCT((SMIX2CT!$D$2:$D$200=$B5)*(SMIX2CT!$H$2:$H$200="P3")*SMIX2CT!$I$2:$I$200*0.01))))</f>
        <v>1</v>
      </c>
      <c r="J5" s="0" t="n">
        <f aca="false">IF($B5="",0,COUNTIFS(SMIX2CT!$D$2:$D$200,$B5,SMIX2CT!$H$2:$H$200,"P4"))</f>
        <v>0</v>
      </c>
      <c r="K5" s="0" t="n">
        <f aca="false">MAX(0.5,MIN(1.5,1+IF($B5="",0,SUMPRODUCT((SMIX2CT!$D$2:$D$200=$B5)*(SMIX2CT!$H$2:$H$200="P4")*SMIX2CT!$I$2:$I$200*0.01))))</f>
        <v>1</v>
      </c>
      <c r="L5" s="0" t="n">
        <f aca="false">IF($B5="",0,COUNTIFS(SMIX2CT!$D$2:$D$200,$B5,SMIX2CT!$H$2:$H$200,"P5"))</f>
        <v>0</v>
      </c>
      <c r="M5" s="0" t="n">
        <f aca="false">MAX(0.5,MIN(1.5,1+IF($B5="",0,SUMPRODUCT((SMIX2CT!$D$2:$D$200=$B5)*(SMIX2CT!$H$2:$H$200="P5")*SMIX2CT!$I$2:$I$200*0.01))))</f>
        <v>1</v>
      </c>
      <c r="N5" s="0" t="n">
        <f aca="false">IF($B5="",0,IFERROR(SUMPRODUCT((SMIX2CT!$D$2:$D$200=$B5)*SMIX2CT!$I$2:$I$200),0))</f>
        <v>-1</v>
      </c>
      <c r="O5" s="0" t="n">
        <f aca="false">D5+F5+H5+J5+L5</f>
        <v>0</v>
      </c>
    </row>
    <row r="6" customFormat="false" ht="15.75" hidden="false" customHeight="false" outlineLevel="0" collapsed="false">
      <c r="A6" s="0" t="s">
        <v>113</v>
      </c>
      <c r="B6" s="0" t="s">
        <v>178</v>
      </c>
      <c r="C6" s="0" t="s">
        <v>114</v>
      </c>
      <c r="D6" s="0" t="n">
        <f aca="false">IF($B6="",0,COUNTIFS(SMIX2CT!$D$2:$D$200,$B6,SMIX2CT!$H$2:$H$200,"P1"))</f>
        <v>0</v>
      </c>
      <c r="E6" s="0" t="n">
        <f aca="false">MAX(0.5,MIN(1.5,1+IF($B6="",0,SUMPRODUCT((SMIX2CT!$D$2:$D$200=$B6)*(SMIX2CT!$H$2:$H$200="P1")*SMIX2CT!$I$2:$I$200*0.01))))</f>
        <v>1</v>
      </c>
      <c r="F6" s="0" t="n">
        <f aca="false">IF($B6="",0,COUNTIFS(SMIX2CT!$D$2:$D$200,$B6,SMIX2CT!$H$2:$H$200,"P2"))</f>
        <v>0</v>
      </c>
      <c r="G6" s="0" t="n">
        <f aca="false">MAX(0.5,MIN(1.5,1+IF($B6="",0,SUMPRODUCT((SMIX2CT!$D$2:$D$200=$B6)*(SMIX2CT!$H$2:$H$200="P2")*SMIX2CT!$I$2:$I$200*0.01))))</f>
        <v>1</v>
      </c>
      <c r="H6" s="0" t="n">
        <f aca="false">IF($B6="",0,COUNTIFS(SMIX2CT!$D$2:$D$200,$B6,SMIX2CT!$H$2:$H$200,"P3"))</f>
        <v>0</v>
      </c>
      <c r="I6" s="0" t="n">
        <f aca="false">MAX(0.5,MIN(1.5,1+IF($B6="",0,SUMPRODUCT((SMIX2CT!$D$2:$D$200=$B6)*(SMIX2CT!$H$2:$H$200="P3")*SMIX2CT!$I$2:$I$200*0.01))))</f>
        <v>1</v>
      </c>
      <c r="J6" s="0" t="n">
        <f aca="false">IF($B6="",0,COUNTIFS(SMIX2CT!$D$2:$D$200,$B6,SMIX2CT!$H$2:$H$200,"P4"))</f>
        <v>0</v>
      </c>
      <c r="K6" s="0" t="n">
        <f aca="false">MAX(0.5,MIN(1.5,1+IF($B6="",0,SUMPRODUCT((SMIX2CT!$D$2:$D$200=$B6)*(SMIX2CT!$H$2:$H$200="P4")*SMIX2CT!$I$2:$I$200*0.01))))</f>
        <v>1</v>
      </c>
      <c r="L6" s="0" t="n">
        <f aca="false">IF($B6="",0,COUNTIFS(SMIX2CT!$D$2:$D$200,$B6,SMIX2CT!$H$2:$H$200,"P5"))</f>
        <v>0</v>
      </c>
      <c r="M6" s="0" t="n">
        <f aca="false">MAX(0.5,MIN(1.5,1+IF($B6="",0,SUMPRODUCT((SMIX2CT!$D$2:$D$200=$B6)*(SMIX2CT!$H$2:$H$200="P5")*SMIX2CT!$I$2:$I$200*0.01))))</f>
        <v>1</v>
      </c>
      <c r="N6" s="0" t="n">
        <f aca="false">IF($B6="",0,IFERROR(SUMPRODUCT((SMIX2CT!$D$2:$D$200=$B6)*SMIX2CT!$I$2:$I$200),0))</f>
        <v>2</v>
      </c>
      <c r="O6" s="0" t="n">
        <f aca="false">D6+F6+H6+J6+L6</f>
        <v>0</v>
      </c>
    </row>
    <row r="7" customFormat="false" ht="15.75" hidden="false" customHeight="false" outlineLevel="0" collapsed="false">
      <c r="A7" s="0" t="s">
        <v>115</v>
      </c>
      <c r="B7" s="0" t="s">
        <v>154</v>
      </c>
      <c r="C7" s="0" t="s">
        <v>116</v>
      </c>
      <c r="D7" s="0" t="n">
        <f aca="false">IF($B7="",0,COUNTIFS(SMIX2CT!$D$2:$D$200,$B7,SMIX2CT!$H$2:$H$200,"P1"))</f>
        <v>0</v>
      </c>
      <c r="E7" s="0" t="n">
        <f aca="false">MAX(0.5,MIN(1.5,1+IF($B7="",0,SUMPRODUCT((SMIX2CT!$D$2:$D$200=$B7)*(SMIX2CT!$H$2:$H$200="P1")*SMIX2CT!$I$2:$I$200*0.01))))</f>
        <v>1</v>
      </c>
      <c r="F7" s="0" t="n">
        <f aca="false">IF($B7="",0,COUNTIFS(SMIX2CT!$D$2:$D$200,$B7,SMIX2CT!$H$2:$H$200,"P2"))</f>
        <v>0</v>
      </c>
      <c r="G7" s="0" t="n">
        <f aca="false">MAX(0.5,MIN(1.5,1+IF($B7="",0,SUMPRODUCT((SMIX2CT!$D$2:$D$200=$B7)*(SMIX2CT!$H$2:$H$200="P2")*SMIX2CT!$I$2:$I$200*0.01))))</f>
        <v>1</v>
      </c>
      <c r="H7" s="0" t="n">
        <f aca="false">IF($B7="",0,COUNTIFS(SMIX2CT!$D$2:$D$200,$B7,SMIX2CT!$H$2:$H$200,"P3"))</f>
        <v>0</v>
      </c>
      <c r="I7" s="0" t="n">
        <f aca="false">MAX(0.5,MIN(1.5,1+IF($B7="",0,SUMPRODUCT((SMIX2CT!$D$2:$D$200=$B7)*(SMIX2CT!$H$2:$H$200="P3")*SMIX2CT!$I$2:$I$200*0.01))))</f>
        <v>1</v>
      </c>
      <c r="J7" s="0" t="n">
        <f aca="false">IF($B7="",0,COUNTIFS(SMIX2CT!$D$2:$D$200,$B7,SMIX2CT!$H$2:$H$200,"P4"))</f>
        <v>0</v>
      </c>
      <c r="K7" s="0" t="n">
        <f aca="false">MAX(0.5,MIN(1.5,1+IF($B7="",0,SUMPRODUCT((SMIX2CT!$D$2:$D$200=$B7)*(SMIX2CT!$H$2:$H$200="P4")*SMIX2CT!$I$2:$I$200*0.01))))</f>
        <v>1</v>
      </c>
      <c r="L7" s="0" t="n">
        <f aca="false">IF($B7="",0,COUNTIFS(SMIX2CT!$D$2:$D$200,$B7,SMIX2CT!$H$2:$H$200,"P5"))</f>
        <v>0</v>
      </c>
      <c r="M7" s="0" t="n">
        <f aca="false">MAX(0.5,MIN(1.5,1+IF($B7="",0,SUMPRODUCT((SMIX2CT!$D$2:$D$200=$B7)*(SMIX2CT!$H$2:$H$200="P5")*SMIX2CT!$I$2:$I$200*0.01))))</f>
        <v>1</v>
      </c>
      <c r="N7" s="0" t="n">
        <f aca="false">IF($B7="",0,IFERROR(SUMPRODUCT((SMIX2CT!$D$2:$D$200=$B7)*SMIX2CT!$I$2:$I$200),0))</f>
        <v>3</v>
      </c>
      <c r="O7" s="0" t="n">
        <f aca="false">D7+F7+H7+J7+L7</f>
        <v>0</v>
      </c>
    </row>
    <row r="8" customFormat="false" ht="15.75" hidden="false" customHeight="false" outlineLevel="0" collapsed="false">
      <c r="A8" s="0" t="s">
        <v>117</v>
      </c>
      <c r="B8" s="0" t="s">
        <v>155</v>
      </c>
      <c r="C8" s="0" t="s">
        <v>118</v>
      </c>
      <c r="D8" s="0" t="n">
        <f aca="false">IF($B8="",0,COUNTIFS(SMIX2CT!$D$2:$D$200,$B8,SMIX2CT!$H$2:$H$200,"P1"))</f>
        <v>0</v>
      </c>
      <c r="E8" s="0" t="n">
        <f aca="false">MAX(0.5,MIN(1.5,1+IF($B8="",0,SUMPRODUCT((SMIX2CT!$D$2:$D$200=$B8)*(SMIX2CT!$H$2:$H$200="P1")*SMIX2CT!$I$2:$I$200*0.01))))</f>
        <v>1</v>
      </c>
      <c r="F8" s="0" t="n">
        <f aca="false">IF($B8="",0,COUNTIFS(SMIX2CT!$D$2:$D$200,$B8,SMIX2CT!$H$2:$H$200,"P2"))</f>
        <v>0</v>
      </c>
      <c r="G8" s="0" t="n">
        <f aca="false">MAX(0.5,MIN(1.5,1+IF($B8="",0,SUMPRODUCT((SMIX2CT!$D$2:$D$200=$B8)*(SMIX2CT!$H$2:$H$200="P2")*SMIX2CT!$I$2:$I$200*0.01))))</f>
        <v>1</v>
      </c>
      <c r="H8" s="0" t="n">
        <f aca="false">IF($B8="",0,COUNTIFS(SMIX2CT!$D$2:$D$200,$B8,SMIX2CT!$H$2:$H$200,"P3"))</f>
        <v>0</v>
      </c>
      <c r="I8" s="0" t="n">
        <f aca="false">MAX(0.5,MIN(1.5,1+IF($B8="",0,SUMPRODUCT((SMIX2CT!$D$2:$D$200=$B8)*(SMIX2CT!$H$2:$H$200="P3")*SMIX2CT!$I$2:$I$200*0.01))))</f>
        <v>1</v>
      </c>
      <c r="J8" s="0" t="n">
        <f aca="false">IF($B8="",0,COUNTIFS(SMIX2CT!$D$2:$D$200,$B8,SMIX2CT!$H$2:$H$200,"P4"))</f>
        <v>0</v>
      </c>
      <c r="K8" s="0" t="n">
        <f aca="false">MAX(0.5,MIN(1.5,1+IF($B8="",0,SUMPRODUCT((SMIX2CT!$D$2:$D$200=$B8)*(SMIX2CT!$H$2:$H$200="P4")*SMIX2CT!$I$2:$I$200*0.01))))</f>
        <v>1</v>
      </c>
      <c r="L8" s="0" t="n">
        <f aca="false">IF($B8="",0,COUNTIFS(SMIX2CT!$D$2:$D$200,$B8,SMIX2CT!$H$2:$H$200,"P5"))</f>
        <v>0</v>
      </c>
      <c r="M8" s="0" t="n">
        <f aca="false">MAX(0.5,MIN(1.5,1+IF($B8="",0,SUMPRODUCT((SMIX2CT!$D$2:$D$200=$B8)*(SMIX2CT!$H$2:$H$200="P5")*SMIX2CT!$I$2:$I$200*0.01))))</f>
        <v>1</v>
      </c>
      <c r="N8" s="0" t="n">
        <f aca="false">IF($B8="",0,IFERROR(SUMPRODUCT((SMIX2CT!$D$2:$D$200=$B8)*SMIX2CT!$I$2:$I$200),0))</f>
        <v>1</v>
      </c>
      <c r="O8" s="0" t="n">
        <f aca="false">D8+F8+H8+J8+L8</f>
        <v>0</v>
      </c>
    </row>
    <row r="9" customFormat="false" ht="15.75" hidden="false" customHeight="false" outlineLevel="0" collapsed="false">
      <c r="A9" s="0" t="s">
        <v>119</v>
      </c>
      <c r="C9" s="0" t="s">
        <v>120</v>
      </c>
      <c r="D9" s="0" t="n">
        <f aca="false">IF($B9="",0,COUNTIFS(SMIX2CT!$D$2:$D$200,$B9,SMIX2CT!$H$2:$H$200,"P1"))</f>
        <v>0</v>
      </c>
      <c r="E9" s="0" t="n">
        <f aca="false">MAX(0.5,MIN(1.5,1+IF($B9="",0,SUMPRODUCT((SMIX2CT!$D$2:$D$200=$B9)*(SMIX2CT!$H$2:$H$200="P1")*SMIX2CT!$I$2:$I$200*0.01))))</f>
        <v>1</v>
      </c>
      <c r="F9" s="0" t="n">
        <f aca="false">IF($B9="",0,COUNTIFS(SMIX2CT!$D$2:$D$200,$B9,SMIX2CT!$H$2:$H$200,"P2"))</f>
        <v>0</v>
      </c>
      <c r="G9" s="0" t="n">
        <f aca="false">MAX(0.5,MIN(1.5,1+IF($B9="",0,SUMPRODUCT((SMIX2CT!$D$2:$D$200=$B9)*(SMIX2CT!$H$2:$H$200="P2")*SMIX2CT!$I$2:$I$200*0.01))))</f>
        <v>1</v>
      </c>
      <c r="H9" s="0" t="n">
        <f aca="false">IF($B9="",0,COUNTIFS(SMIX2CT!$D$2:$D$200,$B9,SMIX2CT!$H$2:$H$200,"P3"))</f>
        <v>0</v>
      </c>
      <c r="I9" s="0" t="n">
        <f aca="false">MAX(0.5,MIN(1.5,1+IF($B9="",0,SUMPRODUCT((SMIX2CT!$D$2:$D$200=$B9)*(SMIX2CT!$H$2:$H$200="P3")*SMIX2CT!$I$2:$I$200*0.01))))</f>
        <v>1</v>
      </c>
      <c r="J9" s="0" t="n">
        <f aca="false">IF($B9="",0,COUNTIFS(SMIX2CT!$D$2:$D$200,$B9,SMIX2CT!$H$2:$H$200,"P4"))</f>
        <v>0</v>
      </c>
      <c r="K9" s="0" t="n">
        <f aca="false">MAX(0.5,MIN(1.5,1+IF($B9="",0,SUMPRODUCT((SMIX2CT!$D$2:$D$200=$B9)*(SMIX2CT!$H$2:$H$200="P4")*SMIX2CT!$I$2:$I$200*0.01))))</f>
        <v>1</v>
      </c>
      <c r="L9" s="0" t="n">
        <f aca="false">IF($B9="",0,COUNTIFS(SMIX2CT!$D$2:$D$200,$B9,SMIX2CT!$H$2:$H$200,"P5"))</f>
        <v>0</v>
      </c>
      <c r="M9" s="0" t="n">
        <f aca="false">MAX(0.5,MIN(1.5,1+IF($B9="",0,SUMPRODUCT((SMIX2CT!$D$2:$D$200=$B9)*(SMIX2CT!$H$2:$H$200="P5")*SMIX2CT!$I$2:$I$200*0.01))))</f>
        <v>1</v>
      </c>
      <c r="N9" s="0" t="n">
        <f aca="false">IF($B9="",0,IFERROR(SUMPRODUCT((SMIX2CT!$D$2:$D$200=$B9)*SMIX2CT!$I$2:$I$200),0))</f>
        <v>0</v>
      </c>
      <c r="O9" s="0" t="n">
        <f aca="false">D9+F9+H9+J9+L9</f>
        <v>0</v>
      </c>
    </row>
    <row r="10" customFormat="false" ht="15.75" hidden="false" customHeight="false" outlineLevel="0" collapsed="false">
      <c r="A10" s="0" t="s">
        <v>121</v>
      </c>
      <c r="B10" s="0" t="s">
        <v>169</v>
      </c>
      <c r="C10" s="0" t="s">
        <v>122</v>
      </c>
      <c r="D10" s="0" t="n">
        <f aca="false">IF($B10="",0,COUNTIFS(SMIX2CT!$D$2:$D$200,$B10,SMIX2CT!$H$2:$H$200,"P1"))</f>
        <v>0</v>
      </c>
      <c r="E10" s="0" t="n">
        <f aca="false">MAX(0.5,MIN(1.5,1+IF($B10="",0,SUMPRODUCT((SMIX2CT!$D$2:$D$200=$B10)*(SMIX2CT!$H$2:$H$200="P1")*SMIX2CT!$I$2:$I$200*0.01))))</f>
        <v>1</v>
      </c>
      <c r="F10" s="0" t="n">
        <f aca="false">IF($B10="",0,COUNTIFS(SMIX2CT!$D$2:$D$200,$B10,SMIX2CT!$H$2:$H$200,"P2"))</f>
        <v>0</v>
      </c>
      <c r="G10" s="0" t="n">
        <f aca="false">MAX(0.5,MIN(1.5,1+IF($B10="",0,SUMPRODUCT((SMIX2CT!$D$2:$D$200=$B10)*(SMIX2CT!$H$2:$H$200="P2")*SMIX2CT!$I$2:$I$200*0.01))))</f>
        <v>1</v>
      </c>
      <c r="H10" s="0" t="n">
        <f aca="false">IF($B10="",0,COUNTIFS(SMIX2CT!$D$2:$D$200,$B10,SMIX2CT!$H$2:$H$200,"P3"))</f>
        <v>0</v>
      </c>
      <c r="I10" s="0" t="n">
        <f aca="false">MAX(0.5,MIN(1.5,1+IF($B10="",0,SUMPRODUCT((SMIX2CT!$D$2:$D$200=$B10)*(SMIX2CT!$H$2:$H$200="P3")*SMIX2CT!$I$2:$I$200*0.01))))</f>
        <v>1</v>
      </c>
      <c r="J10" s="0" t="n">
        <f aca="false">IF($B10="",0,COUNTIFS(SMIX2CT!$D$2:$D$200,$B10,SMIX2CT!$H$2:$H$200,"P4"))</f>
        <v>0</v>
      </c>
      <c r="K10" s="0" t="n">
        <f aca="false">MAX(0.5,MIN(1.5,1+IF($B10="",0,SUMPRODUCT((SMIX2CT!$D$2:$D$200=$B10)*(SMIX2CT!$H$2:$H$200="P4")*SMIX2CT!$I$2:$I$200*0.01))))</f>
        <v>1</v>
      </c>
      <c r="L10" s="0" t="n">
        <f aca="false">IF($B10="",0,COUNTIFS(SMIX2CT!$D$2:$D$200,$B10,SMIX2CT!$H$2:$H$200,"P5"))</f>
        <v>0</v>
      </c>
      <c r="M10" s="0" t="n">
        <f aca="false">MAX(0.5,MIN(1.5,1+IF($B10="",0,SUMPRODUCT((SMIX2CT!$D$2:$D$200=$B10)*(SMIX2CT!$H$2:$H$200="P5")*SMIX2CT!$I$2:$I$200*0.01))))</f>
        <v>1</v>
      </c>
      <c r="N10" s="0" t="n">
        <f aca="false">IF($B10="",0,IFERROR(SUMPRODUCT((SMIX2CT!$D$2:$D$200=$B10)*SMIX2CT!$I$2:$I$200),0))</f>
        <v>-1</v>
      </c>
      <c r="O10" s="0" t="n">
        <f aca="false">D10+F10+H10+J10+L10</f>
        <v>0</v>
      </c>
    </row>
    <row r="11" customFormat="false" ht="15.75" hidden="false" customHeight="false" outlineLevel="0" collapsed="false">
      <c r="A11" s="0" t="s">
        <v>123</v>
      </c>
      <c r="C11" s="0" t="s">
        <v>124</v>
      </c>
      <c r="D11" s="0" t="n">
        <f aca="false">IF($B11="",0,COUNTIFS(SMIX2CT!$D$2:$D$200,$B11,SMIX2CT!$H$2:$H$200,"P1"))</f>
        <v>0</v>
      </c>
      <c r="E11" s="0" t="n">
        <f aca="false">MAX(0.5,MIN(1.5,1+IF($B11="",0,SUMPRODUCT((SMIX2CT!$D$2:$D$200=$B11)*(SMIX2CT!$H$2:$H$200="P1")*SMIX2CT!$I$2:$I$200*0.01))))</f>
        <v>1</v>
      </c>
      <c r="F11" s="0" t="n">
        <f aca="false">IF($B11="",0,COUNTIFS(SMIX2CT!$D$2:$D$200,$B11,SMIX2CT!$H$2:$H$200,"P2"))</f>
        <v>0</v>
      </c>
      <c r="G11" s="0" t="n">
        <f aca="false">MAX(0.5,MIN(1.5,1+IF($B11="",0,SUMPRODUCT((SMIX2CT!$D$2:$D$200=$B11)*(SMIX2CT!$H$2:$H$200="P2")*SMIX2CT!$I$2:$I$200*0.01))))</f>
        <v>1</v>
      </c>
      <c r="H11" s="0" t="n">
        <f aca="false">IF($B11="",0,COUNTIFS(SMIX2CT!$D$2:$D$200,$B11,SMIX2CT!$H$2:$H$200,"P3"))</f>
        <v>0</v>
      </c>
      <c r="I11" s="0" t="n">
        <f aca="false">MAX(0.5,MIN(1.5,1+IF($B11="",0,SUMPRODUCT((SMIX2CT!$D$2:$D$200=$B11)*(SMIX2CT!$H$2:$H$200="P3")*SMIX2CT!$I$2:$I$200*0.01))))</f>
        <v>1</v>
      </c>
      <c r="J11" s="0" t="n">
        <f aca="false">IF($B11="",0,COUNTIFS(SMIX2CT!$D$2:$D$200,$B11,SMIX2CT!$H$2:$H$200,"P4"))</f>
        <v>0</v>
      </c>
      <c r="K11" s="0" t="n">
        <f aca="false">MAX(0.5,MIN(1.5,1+IF($B11="",0,SUMPRODUCT((SMIX2CT!$D$2:$D$200=$B11)*(SMIX2CT!$H$2:$H$200="P4")*SMIX2CT!$I$2:$I$200*0.01))))</f>
        <v>1</v>
      </c>
      <c r="L11" s="0" t="n">
        <f aca="false">IF($B11="",0,COUNTIFS(SMIX2CT!$D$2:$D$200,$B11,SMIX2CT!$H$2:$H$200,"P5"))</f>
        <v>0</v>
      </c>
      <c r="M11" s="0" t="n">
        <f aca="false">MAX(0.5,MIN(1.5,1+IF($B11="",0,SUMPRODUCT((SMIX2CT!$D$2:$D$200=$B11)*(SMIX2CT!$H$2:$H$200="P5")*SMIX2CT!$I$2:$I$200*0.01))))</f>
        <v>1</v>
      </c>
      <c r="N11" s="0" t="n">
        <f aca="false">IF($B11="",0,IFERROR(SUMPRODUCT((SMIX2CT!$D$2:$D$200=$B11)*SMIX2CT!$I$2:$I$200),0))</f>
        <v>0</v>
      </c>
      <c r="O11" s="0" t="n">
        <f aca="false">D11+F11+H11+J11+L11</f>
        <v>0</v>
      </c>
    </row>
    <row r="12" customFormat="false" ht="15.75" hidden="false" customHeight="false" outlineLevel="0" collapsed="false">
      <c r="A12" s="0" t="s">
        <v>125</v>
      </c>
      <c r="B12" s="0" t="s">
        <v>163</v>
      </c>
      <c r="C12" s="0" t="s">
        <v>126</v>
      </c>
      <c r="D12" s="0" t="n">
        <f aca="false">IF($B12="",0,COUNTIFS(SMIX2CT!$D$2:$D$200,$B12,SMIX2CT!$H$2:$H$200,"P1"))</f>
        <v>0</v>
      </c>
      <c r="E12" s="0" t="n">
        <f aca="false">MAX(0.5,MIN(1.5,1+IF($B12="",0,SUMPRODUCT((SMIX2CT!$D$2:$D$200=$B12)*(SMIX2CT!$H$2:$H$200="P1")*SMIX2CT!$I$2:$I$200*0.01))))</f>
        <v>1</v>
      </c>
      <c r="F12" s="0" t="n">
        <f aca="false">IF($B12="",0,COUNTIFS(SMIX2CT!$D$2:$D$200,$B12,SMIX2CT!$H$2:$H$200,"P2"))</f>
        <v>0</v>
      </c>
      <c r="G12" s="0" t="n">
        <f aca="false">MAX(0.5,MIN(1.5,1+IF($B12="",0,SUMPRODUCT((SMIX2CT!$D$2:$D$200=$B12)*(SMIX2CT!$H$2:$H$200="P2")*SMIX2CT!$I$2:$I$200*0.01))))</f>
        <v>1</v>
      </c>
      <c r="H12" s="0" t="n">
        <f aca="false">IF($B12="",0,COUNTIFS(SMIX2CT!$D$2:$D$200,$B12,SMIX2CT!$H$2:$H$200,"P3"))</f>
        <v>0</v>
      </c>
      <c r="I12" s="0" t="n">
        <f aca="false">MAX(0.5,MIN(1.5,1+IF($B12="",0,SUMPRODUCT((SMIX2CT!$D$2:$D$200=$B12)*(SMIX2CT!$H$2:$H$200="P3")*SMIX2CT!$I$2:$I$200*0.01))))</f>
        <v>1</v>
      </c>
      <c r="J12" s="0" t="n">
        <f aca="false">IF($B12="",0,COUNTIFS(SMIX2CT!$D$2:$D$200,$B12,SMIX2CT!$H$2:$H$200,"P4"))</f>
        <v>0</v>
      </c>
      <c r="K12" s="0" t="n">
        <f aca="false">MAX(0.5,MIN(1.5,1+IF($B12="",0,SUMPRODUCT((SMIX2CT!$D$2:$D$200=$B12)*(SMIX2CT!$H$2:$H$200="P4")*SMIX2CT!$I$2:$I$200*0.01))))</f>
        <v>1</v>
      </c>
      <c r="L12" s="0" t="n">
        <f aca="false">IF($B12="",0,COUNTIFS(SMIX2CT!$D$2:$D$200,$B12,SMIX2CT!$H$2:$H$200,"P5"))</f>
        <v>0</v>
      </c>
      <c r="M12" s="0" t="n">
        <f aca="false">MAX(0.5,MIN(1.5,1+IF($B12="",0,SUMPRODUCT((SMIX2CT!$D$2:$D$200=$B12)*(SMIX2CT!$H$2:$H$200="P5")*SMIX2CT!$I$2:$I$200*0.01))))</f>
        <v>1</v>
      </c>
      <c r="N12" s="0" t="n">
        <f aca="false">IF($B12="",0,IFERROR(SUMPRODUCT((SMIX2CT!$D$2:$D$200=$B12)*SMIX2CT!$I$2:$I$200),0))</f>
        <v>-2</v>
      </c>
      <c r="O12" s="0" t="n">
        <f aca="false">D12+F12+H12+J12+L12</f>
        <v>0</v>
      </c>
    </row>
    <row r="13" customFormat="false" ht="15.75" hidden="false" customHeight="false" outlineLevel="0" collapsed="false">
      <c r="A13" s="0" t="s">
        <v>127</v>
      </c>
      <c r="B13" s="0" t="s">
        <v>168</v>
      </c>
      <c r="C13" s="0" t="s">
        <v>128</v>
      </c>
      <c r="D13" s="0" t="n">
        <f aca="false">IF($B13="",0,COUNTIFS(SMIX2CT!$D$2:$D$200,$B13,SMIX2CT!$H$2:$H$200,"P1"))</f>
        <v>0</v>
      </c>
      <c r="E13" s="0" t="n">
        <f aca="false">MAX(0.5,MIN(1.5,1+IF($B13="",0,SUMPRODUCT((SMIX2CT!$D$2:$D$200=$B13)*(SMIX2CT!$H$2:$H$200="P1")*SMIX2CT!$I$2:$I$200*0.01))))</f>
        <v>1</v>
      </c>
      <c r="F13" s="0" t="n">
        <f aca="false">IF($B13="",0,COUNTIFS(SMIX2CT!$D$2:$D$200,$B13,SMIX2CT!$H$2:$H$200,"P2"))</f>
        <v>0</v>
      </c>
      <c r="G13" s="0" t="n">
        <f aca="false">MAX(0.5,MIN(1.5,1+IF($B13="",0,SUMPRODUCT((SMIX2CT!$D$2:$D$200=$B13)*(SMIX2CT!$H$2:$H$200="P2")*SMIX2CT!$I$2:$I$200*0.01))))</f>
        <v>1</v>
      </c>
      <c r="H13" s="0" t="n">
        <f aca="false">IF($B13="",0,COUNTIFS(SMIX2CT!$D$2:$D$200,$B13,SMIX2CT!$H$2:$H$200,"P3"))</f>
        <v>0</v>
      </c>
      <c r="I13" s="0" t="n">
        <f aca="false">MAX(0.5,MIN(1.5,1+IF($B13="",0,SUMPRODUCT((SMIX2CT!$D$2:$D$200=$B13)*(SMIX2CT!$H$2:$H$200="P3")*SMIX2CT!$I$2:$I$200*0.01))))</f>
        <v>1</v>
      </c>
      <c r="J13" s="0" t="n">
        <f aca="false">IF($B13="",0,COUNTIFS(SMIX2CT!$D$2:$D$200,$B13,SMIX2CT!$H$2:$H$200,"P4"))</f>
        <v>0</v>
      </c>
      <c r="K13" s="0" t="n">
        <f aca="false">MAX(0.5,MIN(1.5,1+IF($B13="",0,SUMPRODUCT((SMIX2CT!$D$2:$D$200=$B13)*(SMIX2CT!$H$2:$H$200="P4")*SMIX2CT!$I$2:$I$200*0.01))))</f>
        <v>1</v>
      </c>
      <c r="L13" s="0" t="n">
        <f aca="false">IF($B13="",0,COUNTIFS(SMIX2CT!$D$2:$D$200,$B13,SMIX2CT!$H$2:$H$200,"P5"))</f>
        <v>0</v>
      </c>
      <c r="M13" s="0" t="n">
        <f aca="false">MAX(0.5,MIN(1.5,1+IF($B13="",0,SUMPRODUCT((SMIX2CT!$D$2:$D$200=$B13)*(SMIX2CT!$H$2:$H$200="P5")*SMIX2CT!$I$2:$I$200*0.01))))</f>
        <v>1</v>
      </c>
      <c r="N13" s="0" t="n">
        <f aca="false">IF($B13="",0,IFERROR(SUMPRODUCT((SMIX2CT!$D$2:$D$200=$B13)*SMIX2CT!$I$2:$I$200),0))</f>
        <v>4</v>
      </c>
      <c r="O13" s="0" t="n">
        <f aca="false">D13+F13+H13+J13+L13</f>
        <v>0</v>
      </c>
    </row>
    <row r="14" customFormat="false" ht="15.75" hidden="false" customHeight="false" outlineLevel="0" collapsed="false">
      <c r="A14" s="0" t="s">
        <v>129</v>
      </c>
      <c r="B14" s="0" t="s">
        <v>174</v>
      </c>
      <c r="C14" s="0" t="s">
        <v>130</v>
      </c>
      <c r="D14" s="0" t="n">
        <f aca="false">IF($B14="",0,COUNTIFS(SMIX2CT!$D$2:$D$200,$B14,SMIX2CT!$H$2:$H$200,"P1"))</f>
        <v>0</v>
      </c>
      <c r="E14" s="0" t="n">
        <f aca="false">MAX(0.5,MIN(1.5,1+IF($B14="",0,SUMPRODUCT((SMIX2CT!$D$2:$D$200=$B14)*(SMIX2CT!$H$2:$H$200="P1")*SMIX2CT!$I$2:$I$200*0.01))))</f>
        <v>1</v>
      </c>
      <c r="F14" s="0" t="n">
        <f aca="false">IF($B14="",0,COUNTIFS(SMIX2CT!$D$2:$D$200,$B14,SMIX2CT!$H$2:$H$200,"P2"))</f>
        <v>0</v>
      </c>
      <c r="G14" s="0" t="n">
        <f aca="false">MAX(0.5,MIN(1.5,1+IF($B14="",0,SUMPRODUCT((SMIX2CT!$D$2:$D$200=$B14)*(SMIX2CT!$H$2:$H$200="P2")*SMIX2CT!$I$2:$I$200*0.01))))</f>
        <v>1</v>
      </c>
      <c r="H14" s="0" t="n">
        <f aca="false">IF($B14="",0,COUNTIFS(SMIX2CT!$D$2:$D$200,$B14,SMIX2CT!$H$2:$H$200,"P3"))</f>
        <v>0</v>
      </c>
      <c r="I14" s="0" t="n">
        <f aca="false">MAX(0.5,MIN(1.5,1+IF($B14="",0,SUMPRODUCT((SMIX2CT!$D$2:$D$200=$B14)*(SMIX2CT!$H$2:$H$200="P3")*SMIX2CT!$I$2:$I$200*0.01))))</f>
        <v>1</v>
      </c>
      <c r="J14" s="0" t="n">
        <f aca="false">IF($B14="",0,COUNTIFS(SMIX2CT!$D$2:$D$200,$B14,SMIX2CT!$H$2:$H$200,"P4"))</f>
        <v>0</v>
      </c>
      <c r="K14" s="0" t="n">
        <f aca="false">MAX(0.5,MIN(1.5,1+IF($B14="",0,SUMPRODUCT((SMIX2CT!$D$2:$D$200=$B14)*(SMIX2CT!$H$2:$H$200="P4")*SMIX2CT!$I$2:$I$200*0.01))))</f>
        <v>1</v>
      </c>
      <c r="L14" s="0" t="n">
        <f aca="false">IF($B14="",0,COUNTIFS(SMIX2CT!$D$2:$D$200,$B14,SMIX2CT!$H$2:$H$200,"P5"))</f>
        <v>0</v>
      </c>
      <c r="M14" s="0" t="n">
        <f aca="false">MAX(0.5,MIN(1.5,1+IF($B14="",0,SUMPRODUCT((SMIX2CT!$D$2:$D$200=$B14)*(SMIX2CT!$H$2:$H$200="P5")*SMIX2CT!$I$2:$I$200*0.01))))</f>
        <v>1</v>
      </c>
      <c r="N14" s="0" t="n">
        <f aca="false">IF($B14="",0,IFERROR(SUMPRODUCT((SMIX2CT!$D$2:$D$200=$B14)*SMIX2CT!$I$2:$I$200),0))</f>
        <v>-1</v>
      </c>
      <c r="O14" s="0" t="n">
        <f aca="false">D14+F14+H14+J14+L14</f>
        <v>0</v>
      </c>
    </row>
    <row r="15" customFormat="false" ht="15.75" hidden="false" customHeight="false" outlineLevel="0" collapsed="false">
      <c r="A15" s="0" t="s">
        <v>131</v>
      </c>
      <c r="B15" s="0" t="s">
        <v>172</v>
      </c>
      <c r="C15" s="0" t="s">
        <v>132</v>
      </c>
      <c r="D15" s="0" t="n">
        <f aca="false">IF($B15="",0,COUNTIFS(SMIX2CT!$D$2:$D$200,$B15,SMIX2CT!$H$2:$H$200,"P1"))</f>
        <v>0</v>
      </c>
      <c r="E15" s="0" t="n">
        <f aca="false">MAX(0.5,MIN(1.5,1+IF($B15="",0,SUMPRODUCT((SMIX2CT!$D$2:$D$200=$B15)*(SMIX2CT!$H$2:$H$200="P1")*SMIX2CT!$I$2:$I$200*0.01))))</f>
        <v>1</v>
      </c>
      <c r="F15" s="0" t="n">
        <f aca="false">IF($B15="",0,COUNTIFS(SMIX2CT!$D$2:$D$200,$B15,SMIX2CT!$H$2:$H$200,"P2"))</f>
        <v>0</v>
      </c>
      <c r="G15" s="0" t="n">
        <f aca="false">MAX(0.5,MIN(1.5,1+IF($B15="",0,SUMPRODUCT((SMIX2CT!$D$2:$D$200=$B15)*(SMIX2CT!$H$2:$H$200="P2")*SMIX2CT!$I$2:$I$200*0.01))))</f>
        <v>1</v>
      </c>
      <c r="H15" s="0" t="n">
        <f aca="false">IF($B15="",0,COUNTIFS(SMIX2CT!$D$2:$D$200,$B15,SMIX2CT!$H$2:$H$200,"P3"))</f>
        <v>0</v>
      </c>
      <c r="I15" s="0" t="n">
        <f aca="false">MAX(0.5,MIN(1.5,1+IF($B15="",0,SUMPRODUCT((SMIX2CT!$D$2:$D$200=$B15)*(SMIX2CT!$H$2:$H$200="P3")*SMIX2CT!$I$2:$I$200*0.01))))</f>
        <v>1</v>
      </c>
      <c r="J15" s="0" t="n">
        <f aca="false">IF($B15="",0,COUNTIFS(SMIX2CT!$D$2:$D$200,$B15,SMIX2CT!$H$2:$H$200,"P4"))</f>
        <v>0</v>
      </c>
      <c r="K15" s="0" t="n">
        <f aca="false">MAX(0.5,MIN(1.5,1+IF($B15="",0,SUMPRODUCT((SMIX2CT!$D$2:$D$200=$B15)*(SMIX2CT!$H$2:$H$200="P4")*SMIX2CT!$I$2:$I$200*0.01))))</f>
        <v>1</v>
      </c>
      <c r="L15" s="0" t="n">
        <f aca="false">IF($B15="",0,COUNTIFS(SMIX2CT!$D$2:$D$200,$B15,SMIX2CT!$H$2:$H$200,"P5"))</f>
        <v>0</v>
      </c>
      <c r="M15" s="0" t="n">
        <f aca="false">MAX(0.5,MIN(1.5,1+IF($B15="",0,SUMPRODUCT((SMIX2CT!$D$2:$D$200=$B15)*(SMIX2CT!$H$2:$H$200="P5")*SMIX2CT!$I$2:$I$200*0.01))))</f>
        <v>1</v>
      </c>
      <c r="N15" s="0" t="n">
        <f aca="false">IF($B15="",0,IFERROR(SUMPRODUCT((SMIX2CT!$D$2:$D$200=$B15)*SMIX2CT!$I$2:$I$200),0))</f>
        <v>-1</v>
      </c>
      <c r="O15" s="0" t="n">
        <f aca="false">D15+F15+H15+J15+L15</f>
        <v>0</v>
      </c>
    </row>
    <row r="16" customFormat="false" ht="15.75" hidden="false" customHeight="false" outlineLevel="0" collapsed="false">
      <c r="A16" s="0" t="s">
        <v>133</v>
      </c>
      <c r="C16" s="0" t="s">
        <v>134</v>
      </c>
      <c r="D16" s="0" t="n">
        <f aca="false">IF($B16="",0,COUNTIFS(SMIX2CT!$D$2:$D$200,$B16,SMIX2CT!$H$2:$H$200,"P1"))</f>
        <v>0</v>
      </c>
      <c r="E16" s="0" t="n">
        <f aca="false">MAX(0.5,MIN(1.5,1+IF($B16="",0,SUMPRODUCT((SMIX2CT!$D$2:$D$200=$B16)*(SMIX2CT!$H$2:$H$200="P1")*SMIX2CT!$I$2:$I$200*0.01))))</f>
        <v>1</v>
      </c>
      <c r="F16" s="0" t="n">
        <f aca="false">IF($B16="",0,COUNTIFS(SMIX2CT!$D$2:$D$200,$B16,SMIX2CT!$H$2:$H$200,"P2"))</f>
        <v>0</v>
      </c>
      <c r="G16" s="0" t="n">
        <f aca="false">MAX(0.5,MIN(1.5,1+IF($B16="",0,SUMPRODUCT((SMIX2CT!$D$2:$D$200=$B16)*(SMIX2CT!$H$2:$H$200="P2")*SMIX2CT!$I$2:$I$200*0.01))))</f>
        <v>1</v>
      </c>
      <c r="H16" s="0" t="n">
        <f aca="false">IF($B16="",0,COUNTIFS(SMIX2CT!$D$2:$D$200,$B16,SMIX2CT!$H$2:$H$200,"P3"))</f>
        <v>0</v>
      </c>
      <c r="I16" s="0" t="n">
        <f aca="false">MAX(0.5,MIN(1.5,1+IF($B16="",0,SUMPRODUCT((SMIX2CT!$D$2:$D$200=$B16)*(SMIX2CT!$H$2:$H$200="P3")*SMIX2CT!$I$2:$I$200*0.01))))</f>
        <v>1</v>
      </c>
      <c r="J16" s="0" t="n">
        <f aca="false">IF($B16="",0,COUNTIFS(SMIX2CT!$D$2:$D$200,$B16,SMIX2CT!$H$2:$H$200,"P4"))</f>
        <v>0</v>
      </c>
      <c r="K16" s="0" t="n">
        <f aca="false">MAX(0.5,MIN(1.5,1+IF($B16="",0,SUMPRODUCT((SMIX2CT!$D$2:$D$200=$B16)*(SMIX2CT!$H$2:$H$200="P4")*SMIX2CT!$I$2:$I$200*0.01))))</f>
        <v>1</v>
      </c>
      <c r="L16" s="0" t="n">
        <f aca="false">IF($B16="",0,COUNTIFS(SMIX2CT!$D$2:$D$200,$B16,SMIX2CT!$H$2:$H$200,"P5"))</f>
        <v>0</v>
      </c>
      <c r="M16" s="0" t="n">
        <f aca="false">MAX(0.5,MIN(1.5,1+IF($B16="",0,SUMPRODUCT((SMIX2CT!$D$2:$D$200=$B16)*(SMIX2CT!$H$2:$H$200="P5")*SMIX2CT!$I$2:$I$200*0.01))))</f>
        <v>1</v>
      </c>
      <c r="N16" s="0" t="n">
        <f aca="false">IF($B16="",0,IFERROR(SUMPRODUCT((SMIX2CT!$D$2:$D$200=$B16)*SMIX2CT!$I$2:$I$200),0))</f>
        <v>0</v>
      </c>
      <c r="O16" s="0" t="n">
        <f aca="false">D16+F16+H16+J16+L16</f>
        <v>0</v>
      </c>
    </row>
    <row r="17" customFormat="false" ht="15.75" hidden="false" customHeight="false" outlineLevel="0" collapsed="false">
      <c r="A17" s="0" t="s">
        <v>135</v>
      </c>
      <c r="B17" s="0" t="s">
        <v>180</v>
      </c>
      <c r="C17" s="0" t="s">
        <v>136</v>
      </c>
      <c r="D17" s="0" t="n">
        <f aca="false">IF($B17="",0,COUNTIFS(SMIX2CT!$D$2:$D$200,$B17,SMIX2CT!$H$2:$H$200,"P1"))</f>
        <v>0</v>
      </c>
      <c r="E17" s="0" t="n">
        <f aca="false">MAX(0.5,MIN(1.5,1+IF($B17="",0,SUMPRODUCT((SMIX2CT!$D$2:$D$200=$B17)*(SMIX2CT!$H$2:$H$200="P1")*SMIX2CT!$I$2:$I$200*0.01))))</f>
        <v>1</v>
      </c>
      <c r="F17" s="0" t="n">
        <f aca="false">IF($B17="",0,COUNTIFS(SMIX2CT!$D$2:$D$200,$B17,SMIX2CT!$H$2:$H$200,"P2"))</f>
        <v>0</v>
      </c>
      <c r="G17" s="0" t="n">
        <f aca="false">MAX(0.5,MIN(1.5,1+IF($B17="",0,SUMPRODUCT((SMIX2CT!$D$2:$D$200=$B17)*(SMIX2CT!$H$2:$H$200="P2")*SMIX2CT!$I$2:$I$200*0.01))))</f>
        <v>1</v>
      </c>
      <c r="H17" s="0" t="n">
        <f aca="false">IF($B17="",0,COUNTIFS(SMIX2CT!$D$2:$D$200,$B17,SMIX2CT!$H$2:$H$200,"P3"))</f>
        <v>0</v>
      </c>
      <c r="I17" s="0" t="n">
        <f aca="false">MAX(0.5,MIN(1.5,1+IF($B17="",0,SUMPRODUCT((SMIX2CT!$D$2:$D$200=$B17)*(SMIX2CT!$H$2:$H$200="P3")*SMIX2CT!$I$2:$I$200*0.01))))</f>
        <v>1</v>
      </c>
      <c r="J17" s="0" t="n">
        <f aca="false">IF($B17="",0,COUNTIFS(SMIX2CT!$D$2:$D$200,$B17,SMIX2CT!$H$2:$H$200,"P4"))</f>
        <v>0</v>
      </c>
      <c r="K17" s="0" t="n">
        <f aca="false">MAX(0.5,MIN(1.5,1+IF($B17="",0,SUMPRODUCT((SMIX2CT!$D$2:$D$200=$B17)*(SMIX2CT!$H$2:$H$200="P4")*SMIX2CT!$I$2:$I$200*0.01))))</f>
        <v>1</v>
      </c>
      <c r="L17" s="0" t="n">
        <f aca="false">IF($B17="",0,COUNTIFS(SMIX2CT!$D$2:$D$200,$B17,SMIX2CT!$H$2:$H$200,"P5"))</f>
        <v>0</v>
      </c>
      <c r="M17" s="0" t="n">
        <f aca="false">MAX(0.5,MIN(1.5,1+IF($B17="",0,SUMPRODUCT((SMIX2CT!$D$2:$D$200=$B17)*(SMIX2CT!$H$2:$H$200="P5")*SMIX2CT!$I$2:$I$200*0.01))))</f>
        <v>1</v>
      </c>
      <c r="N17" s="0" t="n">
        <f aca="false">IF($B17="",0,IFERROR(SUMPRODUCT((SMIX2CT!$D$2:$D$200=$B17)*SMIX2CT!$I$2:$I$200),0))</f>
        <v>-1</v>
      </c>
      <c r="O17" s="0" t="n">
        <f aca="false">D17+F17+H17+J17+L17</f>
        <v>0</v>
      </c>
    </row>
    <row r="18" customFormat="false" ht="15.75" hidden="false" customHeight="false" outlineLevel="0" collapsed="false">
      <c r="A18" s="0" t="s">
        <v>137</v>
      </c>
      <c r="B18" s="0" t="s">
        <v>164</v>
      </c>
      <c r="C18" s="0" t="s">
        <v>138</v>
      </c>
      <c r="D18" s="0" t="n">
        <f aca="false">IF($B18="",0,COUNTIFS(SMIX2CT!$D$2:$D$200,$B18,SMIX2CT!$H$2:$H$200,"P1"))</f>
        <v>0</v>
      </c>
      <c r="E18" s="0" t="n">
        <f aca="false">MAX(0.5,MIN(1.5,1+IF($B18="",0,SUMPRODUCT((SMIX2CT!$D$2:$D$200=$B18)*(SMIX2CT!$H$2:$H$200="P1")*SMIX2CT!$I$2:$I$200*0.01))))</f>
        <v>1</v>
      </c>
      <c r="F18" s="0" t="n">
        <f aca="false">IF($B18="",0,COUNTIFS(SMIX2CT!$D$2:$D$200,$B18,SMIX2CT!$H$2:$H$200,"P2"))</f>
        <v>0</v>
      </c>
      <c r="G18" s="0" t="n">
        <f aca="false">MAX(0.5,MIN(1.5,1+IF($B18="",0,SUMPRODUCT((SMIX2CT!$D$2:$D$200=$B18)*(SMIX2CT!$H$2:$H$200="P2")*SMIX2CT!$I$2:$I$200*0.01))))</f>
        <v>1</v>
      </c>
      <c r="H18" s="0" t="n">
        <f aca="false">IF($B18="",0,COUNTIFS(SMIX2CT!$D$2:$D$200,$B18,SMIX2CT!$H$2:$H$200,"P3"))</f>
        <v>0</v>
      </c>
      <c r="I18" s="0" t="n">
        <f aca="false">MAX(0.5,MIN(1.5,1+IF($B18="",0,SUMPRODUCT((SMIX2CT!$D$2:$D$200=$B18)*(SMIX2CT!$H$2:$H$200="P3")*SMIX2CT!$I$2:$I$200*0.01))))</f>
        <v>1</v>
      </c>
      <c r="J18" s="0" t="n">
        <f aca="false">IF($B18="",0,COUNTIFS(SMIX2CT!$D$2:$D$200,$B18,SMIX2CT!$H$2:$H$200,"P4"))</f>
        <v>0</v>
      </c>
      <c r="K18" s="0" t="n">
        <f aca="false">MAX(0.5,MIN(1.5,1+IF($B18="",0,SUMPRODUCT((SMIX2CT!$D$2:$D$200=$B18)*(SMIX2CT!$H$2:$H$200="P4")*SMIX2CT!$I$2:$I$200*0.01))))</f>
        <v>1</v>
      </c>
      <c r="L18" s="0" t="n">
        <f aca="false">IF($B18="",0,COUNTIFS(SMIX2CT!$D$2:$D$200,$B18,SMIX2CT!$H$2:$H$200,"P5"))</f>
        <v>0</v>
      </c>
      <c r="M18" s="0" t="n">
        <f aca="false">MAX(0.5,MIN(1.5,1+IF($B18="",0,SUMPRODUCT((SMIX2CT!$D$2:$D$200=$B18)*(SMIX2CT!$H$2:$H$200="P5")*SMIX2CT!$I$2:$I$200*0.01))))</f>
        <v>1</v>
      </c>
      <c r="N18" s="0" t="n">
        <f aca="false">IF($B18="",0,IFERROR(SUMPRODUCT((SMIX2CT!$D$2:$D$200=$B18)*SMIX2CT!$I$2:$I$200),0))</f>
        <v>-1</v>
      </c>
      <c r="O18" s="0" t="n">
        <f aca="false">D18+F18+H18+J18+L18</f>
        <v>0</v>
      </c>
    </row>
    <row r="19" customFormat="false" ht="15.75" hidden="false" customHeight="false" outlineLevel="0" collapsed="false">
      <c r="A19" s="0" t="s">
        <v>139</v>
      </c>
      <c r="C19" s="0" t="s">
        <v>140</v>
      </c>
      <c r="D19" s="0" t="n">
        <f aca="false">IF($B19="",0,COUNTIFS(SMIX2CT!$D$2:$D$200,$B19,SMIX2CT!$H$2:$H$200,"P1"))</f>
        <v>0</v>
      </c>
      <c r="E19" s="0" t="n">
        <f aca="false">MAX(0.5,MIN(1.5,1+IF($B19="",0,SUMPRODUCT((SMIX2CT!$D$2:$D$200=$B19)*(SMIX2CT!$H$2:$H$200="P1")*SMIX2CT!$I$2:$I$200*0.01))))</f>
        <v>1</v>
      </c>
      <c r="F19" s="0" t="n">
        <f aca="false">IF($B19="",0,COUNTIFS(SMIX2CT!$D$2:$D$200,$B19,SMIX2CT!$H$2:$H$200,"P2"))</f>
        <v>0</v>
      </c>
      <c r="G19" s="0" t="n">
        <f aca="false">MAX(0.5,MIN(1.5,1+IF($B19="",0,SUMPRODUCT((SMIX2CT!$D$2:$D$200=$B19)*(SMIX2CT!$H$2:$H$200="P2")*SMIX2CT!$I$2:$I$200*0.01))))</f>
        <v>1</v>
      </c>
      <c r="H19" s="0" t="n">
        <f aca="false">IF($B19="",0,COUNTIFS(SMIX2CT!$D$2:$D$200,$B19,SMIX2CT!$H$2:$H$200,"P3"))</f>
        <v>0</v>
      </c>
      <c r="I19" s="0" t="n">
        <f aca="false">MAX(0.5,MIN(1.5,1+IF($B19="",0,SUMPRODUCT((SMIX2CT!$D$2:$D$200=$B19)*(SMIX2CT!$H$2:$H$200="P3")*SMIX2CT!$I$2:$I$200*0.01))))</f>
        <v>1</v>
      </c>
      <c r="J19" s="0" t="n">
        <f aca="false">IF($B19="",0,COUNTIFS(SMIX2CT!$D$2:$D$200,$B19,SMIX2CT!$H$2:$H$200,"P4"))</f>
        <v>0</v>
      </c>
      <c r="K19" s="0" t="n">
        <f aca="false">MAX(0.5,MIN(1.5,1+IF($B19="",0,SUMPRODUCT((SMIX2CT!$D$2:$D$200=$B19)*(SMIX2CT!$H$2:$H$200="P4")*SMIX2CT!$I$2:$I$200*0.01))))</f>
        <v>1</v>
      </c>
      <c r="L19" s="0" t="n">
        <f aca="false">IF($B19="",0,COUNTIFS(SMIX2CT!$D$2:$D$200,$B19,SMIX2CT!$H$2:$H$200,"P5"))</f>
        <v>0</v>
      </c>
      <c r="M19" s="0" t="n">
        <f aca="false">MAX(0.5,MIN(1.5,1+IF($B19="",0,SUMPRODUCT((SMIX2CT!$D$2:$D$200=$B19)*(SMIX2CT!$H$2:$H$200="P5")*SMIX2CT!$I$2:$I$200*0.01))))</f>
        <v>1</v>
      </c>
      <c r="N19" s="0" t="n">
        <f aca="false">IF($B19="",0,IFERROR(SUMPRODUCT((SMIX2CT!$D$2:$D$200=$B19)*SMIX2CT!$I$2:$I$200),0))</f>
        <v>0</v>
      </c>
      <c r="O19" s="0" t="n">
        <f aca="false">D19+F19+H19+J19+L19</f>
        <v>0</v>
      </c>
    </row>
    <row r="20" customFormat="false" ht="15.75" hidden="false" customHeight="false" outlineLevel="0" collapsed="false">
      <c r="A20" s="0" t="s">
        <v>141</v>
      </c>
      <c r="B20" s="0" t="s">
        <v>167</v>
      </c>
      <c r="C20" s="0" t="s">
        <v>142</v>
      </c>
      <c r="D20" s="0" t="n">
        <f aca="false">IF($B20="",0,COUNTIFS(SMIX2CT!$D$2:$D$200,$B20,SMIX2CT!$H$2:$H$200,"P1"))</f>
        <v>0</v>
      </c>
      <c r="E20" s="0" t="n">
        <f aca="false">MAX(0.5,MIN(1.5,1+IF($B20="",0,SUMPRODUCT((SMIX2CT!$D$2:$D$200=$B20)*(SMIX2CT!$H$2:$H$200="P1")*SMIX2CT!$I$2:$I$200*0.01))))</f>
        <v>1</v>
      </c>
      <c r="F20" s="0" t="n">
        <f aca="false">IF($B20="",0,COUNTIFS(SMIX2CT!$D$2:$D$200,$B20,SMIX2CT!$H$2:$H$200,"P2"))</f>
        <v>0</v>
      </c>
      <c r="G20" s="0" t="n">
        <f aca="false">MAX(0.5,MIN(1.5,1+IF($B20="",0,SUMPRODUCT((SMIX2CT!$D$2:$D$200=$B20)*(SMIX2CT!$H$2:$H$200="P2")*SMIX2CT!$I$2:$I$200*0.01))))</f>
        <v>1</v>
      </c>
      <c r="H20" s="0" t="n">
        <f aca="false">IF($B20="",0,COUNTIFS(SMIX2CT!$D$2:$D$200,$B20,SMIX2CT!$H$2:$H$200,"P3"))</f>
        <v>0</v>
      </c>
      <c r="I20" s="0" t="n">
        <f aca="false">MAX(0.5,MIN(1.5,1+IF($B20="",0,SUMPRODUCT((SMIX2CT!$D$2:$D$200=$B20)*(SMIX2CT!$H$2:$H$200="P3")*SMIX2CT!$I$2:$I$200*0.01))))</f>
        <v>1</v>
      </c>
      <c r="J20" s="0" t="n">
        <f aca="false">IF($B20="",0,COUNTIFS(SMIX2CT!$D$2:$D$200,$B20,SMIX2CT!$H$2:$H$200,"P4"))</f>
        <v>0</v>
      </c>
      <c r="K20" s="0" t="n">
        <f aca="false">MAX(0.5,MIN(1.5,1+IF($B20="",0,SUMPRODUCT((SMIX2CT!$D$2:$D$200=$B20)*(SMIX2CT!$H$2:$H$200="P4")*SMIX2CT!$I$2:$I$200*0.01))))</f>
        <v>1</v>
      </c>
      <c r="L20" s="0" t="n">
        <f aca="false">IF($B20="",0,COUNTIFS(SMIX2CT!$D$2:$D$200,$B20,SMIX2CT!$H$2:$H$200,"P5"))</f>
        <v>0</v>
      </c>
      <c r="M20" s="0" t="n">
        <f aca="false">MAX(0.5,MIN(1.5,1+IF($B20="",0,SUMPRODUCT((SMIX2CT!$D$2:$D$200=$B20)*(SMIX2CT!$H$2:$H$200="P5")*SMIX2CT!$I$2:$I$200*0.01))))</f>
        <v>1</v>
      </c>
      <c r="N20" s="0" t="n">
        <f aca="false">IF($B20="",0,IFERROR(SUMPRODUCT((SMIX2CT!$D$2:$D$200=$B20)*SMIX2CT!$I$2:$I$200),0))</f>
        <v>-2</v>
      </c>
      <c r="O20" s="0" t="n">
        <f aca="false">D20+F20+H20+J20+L20</f>
        <v>0</v>
      </c>
    </row>
    <row r="21" customFormat="false" ht="15.75" hidden="false" customHeight="false" outlineLevel="0" collapsed="false">
      <c r="A21" s="0" t="s">
        <v>143</v>
      </c>
      <c r="B21" s="0" t="s">
        <v>150</v>
      </c>
      <c r="C21" s="0" t="s">
        <v>144</v>
      </c>
      <c r="D21" s="0" t="n">
        <f aca="false">IF($B21="",0,COUNTIFS(SMIX2CT!$D$2:$D$200,$B21,SMIX2CT!$H$2:$H$200,"P1"))</f>
        <v>0</v>
      </c>
      <c r="E21" s="0" t="n">
        <f aca="false">MAX(0.5,MIN(1.5,1+IF($B21="",0,SUMPRODUCT((SMIX2CT!$D$2:$D$200=$B21)*(SMIX2CT!$H$2:$H$200="P1")*SMIX2CT!$I$2:$I$200*0.01))))</f>
        <v>1</v>
      </c>
      <c r="F21" s="0" t="n">
        <f aca="false">IF($B21="",0,COUNTIFS(SMIX2CT!$D$2:$D$200,$B21,SMIX2CT!$H$2:$H$200,"P2"))</f>
        <v>0</v>
      </c>
      <c r="G21" s="0" t="n">
        <f aca="false">MAX(0.5,MIN(1.5,1+IF($B21="",0,SUMPRODUCT((SMIX2CT!$D$2:$D$200=$B21)*(SMIX2CT!$H$2:$H$200="P2")*SMIX2CT!$I$2:$I$200*0.01))))</f>
        <v>1</v>
      </c>
      <c r="H21" s="0" t="n">
        <f aca="false">IF($B21="",0,COUNTIFS(SMIX2CT!$D$2:$D$200,$B21,SMIX2CT!$H$2:$H$200,"P3"))</f>
        <v>0</v>
      </c>
      <c r="I21" s="0" t="n">
        <f aca="false">MAX(0.5,MIN(1.5,1+IF($B21="",0,SUMPRODUCT((SMIX2CT!$D$2:$D$200=$B21)*(SMIX2CT!$H$2:$H$200="P3")*SMIX2CT!$I$2:$I$200*0.01))))</f>
        <v>1</v>
      </c>
      <c r="J21" s="0" t="n">
        <f aca="false">IF($B21="",0,COUNTIFS(SMIX2CT!$D$2:$D$200,$B21,SMIX2CT!$H$2:$H$200,"P4"))</f>
        <v>0</v>
      </c>
      <c r="K21" s="0" t="n">
        <f aca="false">MAX(0.5,MIN(1.5,1+IF($B21="",0,SUMPRODUCT((SMIX2CT!$D$2:$D$200=$B21)*(SMIX2CT!$H$2:$H$200="P4")*SMIX2CT!$I$2:$I$200*0.01))))</f>
        <v>1</v>
      </c>
      <c r="L21" s="0" t="n">
        <f aca="false">IF($B21="",0,COUNTIFS(SMIX2CT!$D$2:$D$200,$B21,SMIX2CT!$H$2:$H$200,"P5"))</f>
        <v>0</v>
      </c>
      <c r="M21" s="0" t="n">
        <f aca="false">MAX(0.5,MIN(1.5,1+IF($B21="",0,SUMPRODUCT((SMIX2CT!$D$2:$D$200=$B21)*(SMIX2CT!$H$2:$H$200="P5")*SMIX2CT!$I$2:$I$200*0.01))))</f>
        <v>1</v>
      </c>
      <c r="N21" s="0" t="n">
        <f aca="false">IF($B21="",0,IFERROR(SUMPRODUCT((SMIX2CT!$D$2:$D$200=$B21)*SMIX2CT!$I$2:$I$200),0))</f>
        <v>1</v>
      </c>
      <c r="O21" s="0" t="n">
        <f aca="false">D21+F21+H21+J21+L21</f>
        <v>0</v>
      </c>
    </row>
    <row r="22" customFormat="false" ht="15.75" hidden="false" customHeight="false" outlineLevel="0" collapsed="false">
      <c r="A22" s="0" t="s">
        <v>145</v>
      </c>
      <c r="B22" s="0" t="s">
        <v>187</v>
      </c>
      <c r="C22" s="0" t="s">
        <v>146</v>
      </c>
      <c r="D22" s="0" t="n">
        <f aca="false">IF($B22="",0,COUNTIFS(SMIX2CT!$D$2:$D$200,$B22,SMIX2CT!$H$2:$H$200,"P1"))</f>
        <v>0</v>
      </c>
      <c r="E22" s="0" t="n">
        <f aca="false">MAX(0.5,MIN(1.5,1+IF($B22="",0,SUMPRODUCT((SMIX2CT!$D$2:$D$200=$B22)*(SMIX2CT!$H$2:$H$200="P1")*SMIX2CT!$I$2:$I$200*0.01))))</f>
        <v>1</v>
      </c>
      <c r="F22" s="0" t="n">
        <f aca="false">IF($B22="",0,COUNTIFS(SMIX2CT!$D$2:$D$200,$B22,SMIX2CT!$H$2:$H$200,"P2"))</f>
        <v>0</v>
      </c>
      <c r="G22" s="0" t="n">
        <f aca="false">MAX(0.5,MIN(1.5,1+IF($B22="",0,SUMPRODUCT((SMIX2CT!$D$2:$D$200=$B22)*(SMIX2CT!$H$2:$H$200="P2")*SMIX2CT!$I$2:$I$200*0.01))))</f>
        <v>1</v>
      </c>
      <c r="H22" s="0" t="n">
        <f aca="false">IF($B22="",0,COUNTIFS(SMIX2CT!$D$2:$D$200,$B22,SMIX2CT!$H$2:$H$200,"P3"))</f>
        <v>0</v>
      </c>
      <c r="I22" s="0" t="n">
        <f aca="false">MAX(0.5,MIN(1.5,1+IF($B22="",0,SUMPRODUCT((SMIX2CT!$D$2:$D$200=$B22)*(SMIX2CT!$H$2:$H$200="P3")*SMIX2CT!$I$2:$I$200*0.01))))</f>
        <v>1</v>
      </c>
      <c r="J22" s="0" t="n">
        <f aca="false">IF($B22="",0,COUNTIFS(SMIX2CT!$D$2:$D$200,$B22,SMIX2CT!$H$2:$H$200,"P4"))</f>
        <v>0</v>
      </c>
      <c r="K22" s="0" t="n">
        <f aca="false">MAX(0.5,MIN(1.5,1+IF($B22="",0,SUMPRODUCT((SMIX2CT!$D$2:$D$200=$B22)*(SMIX2CT!$H$2:$H$200="P4")*SMIX2CT!$I$2:$I$200*0.01))))</f>
        <v>1</v>
      </c>
      <c r="L22" s="0" t="n">
        <f aca="false">IF($B22="",0,COUNTIFS(SMIX2CT!$D$2:$D$200,$B22,SMIX2CT!$H$2:$H$200,"P5"))</f>
        <v>0</v>
      </c>
      <c r="M22" s="0" t="n">
        <f aca="false">MAX(0.5,MIN(1.5,1+IF($B22="",0,SUMPRODUCT((SMIX2CT!$D$2:$D$200=$B22)*(SMIX2CT!$H$2:$H$200="P5")*SMIX2CT!$I$2:$I$200*0.01))))</f>
        <v>1</v>
      </c>
      <c r="N22" s="0" t="n">
        <f aca="false">IF($B22="",0,IFERROR(SUMPRODUCT((SMIX2CT!$D$2:$D$200=$B22)*SMIX2CT!$I$2:$I$200),0))</f>
        <v>1</v>
      </c>
      <c r="O22" s="0" t="n">
        <f aca="false">D22+F22+H22+J22+L22</f>
        <v>0</v>
      </c>
    </row>
    <row r="23" customFormat="false" ht="15.75" hidden="false" customHeight="false" outlineLevel="0" collapsed="false">
      <c r="A23" s="0" t="s">
        <v>147</v>
      </c>
      <c r="B23" s="0" t="s">
        <v>189</v>
      </c>
      <c r="C23" s="0" t="s">
        <v>148</v>
      </c>
      <c r="D23" s="0" t="n">
        <f aca="false">IF($B23="",0,COUNTIFS(SMIX2CT!$D$2:$D$200,$B23,SMIX2CT!$H$2:$H$200,"P1"))</f>
        <v>0</v>
      </c>
      <c r="E23" s="0" t="n">
        <f aca="false">MAX(0.5,MIN(1.5,1+IF($B23="",0,SUMPRODUCT((SMIX2CT!$D$2:$D$200=$B23)*(SMIX2CT!$H$2:$H$200="P1")*SMIX2CT!$I$2:$I$200*0.01))))</f>
        <v>1</v>
      </c>
      <c r="F23" s="0" t="n">
        <f aca="false">IF($B23="",0,COUNTIFS(SMIX2CT!$D$2:$D$200,$B23,SMIX2CT!$H$2:$H$200,"P2"))</f>
        <v>0</v>
      </c>
      <c r="G23" s="0" t="n">
        <f aca="false">MAX(0.5,MIN(1.5,1+IF($B23="",0,SUMPRODUCT((SMIX2CT!$D$2:$D$200=$B23)*(SMIX2CT!$H$2:$H$200="P2")*SMIX2CT!$I$2:$I$200*0.01))))</f>
        <v>1</v>
      </c>
      <c r="H23" s="0" t="n">
        <f aca="false">IF($B23="",0,COUNTIFS(SMIX2CT!$D$2:$D$200,$B23,SMIX2CT!$H$2:$H$200,"P3"))</f>
        <v>0</v>
      </c>
      <c r="I23" s="0" t="n">
        <f aca="false">MAX(0.5,MIN(1.5,1+IF($B23="",0,SUMPRODUCT((SMIX2CT!$D$2:$D$200=$B23)*(SMIX2CT!$H$2:$H$200="P3")*SMIX2CT!$I$2:$I$200*0.01))))</f>
        <v>1</v>
      </c>
      <c r="J23" s="0" t="n">
        <f aca="false">IF($B23="",0,COUNTIFS(SMIX2CT!$D$2:$D$200,$B23,SMIX2CT!$H$2:$H$200,"P4"))</f>
        <v>0</v>
      </c>
      <c r="K23" s="0" t="n">
        <f aca="false">MAX(0.5,MIN(1.5,1+IF($B23="",0,SUMPRODUCT((SMIX2CT!$D$2:$D$200=$B23)*(SMIX2CT!$H$2:$H$200="P4")*SMIX2CT!$I$2:$I$200*0.01))))</f>
        <v>1</v>
      </c>
      <c r="L23" s="0" t="n">
        <f aca="false">IF($B23="",0,COUNTIFS(SMIX2CT!$D$2:$D$200,$B23,SMIX2CT!$H$2:$H$200,"P5"))</f>
        <v>0</v>
      </c>
      <c r="M23" s="0" t="n">
        <f aca="false">MAX(0.5,MIN(1.5,1+IF($B23="",0,SUMPRODUCT((SMIX2CT!$D$2:$D$200=$B23)*(SMIX2CT!$H$2:$H$200="P5")*SMIX2CT!$I$2:$I$200*0.01))))</f>
        <v>1</v>
      </c>
      <c r="N23" s="0" t="n">
        <f aca="false">IF($B23="",0,IFERROR(SUMPRODUCT((SMIX2CT!$D$2:$D$200=$B23)*SMIX2CT!$I$2:$I$200),0))</f>
        <v>1</v>
      </c>
      <c r="O23" s="0" t="n">
        <f aca="false">D23+F23+H23+J23+L23</f>
        <v>0</v>
      </c>
    </row>
    <row r="24" customFormat="false" ht="15.75" hidden="false" customHeight="false" outlineLevel="0" collapsed="false">
      <c r="D24" s="0" t="n">
        <f aca="false">IF($B24="",0,COUNTIFS(SMIX2CT!$D$2:$D$200,$B24,SMIX2CT!$H$2:$H$200,"P1"))</f>
        <v>0</v>
      </c>
      <c r="E24" s="0" t="n">
        <f aca="false">MAX(0.5,MIN(1.5,1+IF($B24="",0,SUMPRODUCT((SMIX2CT!$D$2:$D$200=$B24)*(SMIX2CT!$H$2:$H$200="P1")*SMIX2CT!$I$2:$I$200*0.01))))</f>
        <v>1</v>
      </c>
      <c r="F24" s="0" t="n">
        <f aca="false">IF($B24="",0,COUNTIFS(SMIX2CT!$D$2:$D$200,$B24,SMIX2CT!$H$2:$H$200,"P2"))</f>
        <v>0</v>
      </c>
      <c r="G24" s="0" t="n">
        <f aca="false">MAX(0.5,MIN(1.5,1+IF($B24="",0,SUMPRODUCT((SMIX2CT!$D$2:$D$200=$B24)*(SMIX2CT!$H$2:$H$200="P2")*SMIX2CT!$I$2:$I$200*0.01))))</f>
        <v>1</v>
      </c>
      <c r="H24" s="0" t="n">
        <f aca="false">IF($B24="",0,COUNTIFS(SMIX2CT!$D$2:$D$200,$B24,SMIX2CT!$H$2:$H$200,"P3"))</f>
        <v>0</v>
      </c>
      <c r="I24" s="0" t="n">
        <f aca="false">MAX(0.5,MIN(1.5,1+IF($B24="",0,SUMPRODUCT((SMIX2CT!$D$2:$D$200=$B24)*(SMIX2CT!$H$2:$H$200="P3")*SMIX2CT!$I$2:$I$200*0.01))))</f>
        <v>1</v>
      </c>
      <c r="J24" s="0" t="n">
        <f aca="false">IF($B24="",0,COUNTIFS(SMIX2CT!$D$2:$D$200,$B24,SMIX2CT!$H$2:$H$200,"P4"))</f>
        <v>0</v>
      </c>
      <c r="K24" s="0" t="n">
        <f aca="false">MAX(0.5,MIN(1.5,1+IF($B24="",0,SUMPRODUCT((SMIX2CT!$D$2:$D$200=$B24)*(SMIX2CT!$H$2:$H$200="P4")*SMIX2CT!$I$2:$I$200*0.01))))</f>
        <v>1</v>
      </c>
      <c r="L24" s="0" t="n">
        <f aca="false">IF($B24="",0,COUNTIFS(SMIX2CT!$D$2:$D$200,$B24,SMIX2CT!$H$2:$H$200,"P5"))</f>
        <v>0</v>
      </c>
      <c r="M24" s="0" t="n">
        <f aca="false">MAX(0.5,MIN(1.5,1+IF($B24="",0,SUMPRODUCT((SMIX2CT!$D$2:$D$200=$B24)*(SMIX2CT!$H$2:$H$200="P5")*SMIX2CT!$I$2:$I$200*0.01))))</f>
        <v>1</v>
      </c>
      <c r="N24" s="0" t="n">
        <f aca="false">IF($B24="",0,IFERROR(SUMPRODUCT((SMIX2CT!$D$2:$D$200=$B24)*SMIX2CT!$I$2:$I$200),0))</f>
        <v>0</v>
      </c>
      <c r="O24" s="0" t="n">
        <f aca="false">D24+F24+H24+J24+L24</f>
        <v>0</v>
      </c>
    </row>
    <row r="25" customFormat="false" ht="15.75" hidden="false" customHeight="false" outlineLevel="0" collapsed="false">
      <c r="D25" s="0" t="n">
        <f aca="false">IF($B25="",0,COUNTIFS(SMIX2CT!$D$2:$D$200,$B25,SMIX2CT!$H$2:$H$200,"P1"))</f>
        <v>0</v>
      </c>
      <c r="E25" s="0" t="n">
        <f aca="false">MAX(0.5,MIN(1.5,1+IF($B25="",0,SUMPRODUCT((SMIX2CT!$D$2:$D$200=$B25)*(SMIX2CT!$H$2:$H$200="P1")*SMIX2CT!$I$2:$I$200*0.01))))</f>
        <v>1</v>
      </c>
      <c r="F25" s="0" t="n">
        <f aca="false">IF($B25="",0,COUNTIFS(SMIX2CT!$D$2:$D$200,$B25,SMIX2CT!$H$2:$H$200,"P2"))</f>
        <v>0</v>
      </c>
      <c r="G25" s="0" t="n">
        <f aca="false">MAX(0.5,MIN(1.5,1+IF($B25="",0,SUMPRODUCT((SMIX2CT!$D$2:$D$200=$B25)*(SMIX2CT!$H$2:$H$200="P2")*SMIX2CT!$I$2:$I$200*0.01))))</f>
        <v>1</v>
      </c>
      <c r="H25" s="0" t="n">
        <f aca="false">IF($B25="",0,COUNTIFS(SMIX2CT!$D$2:$D$200,$B25,SMIX2CT!$H$2:$H$200,"P3"))</f>
        <v>0</v>
      </c>
      <c r="I25" s="0" t="n">
        <f aca="false">MAX(0.5,MIN(1.5,1+IF($B25="",0,SUMPRODUCT((SMIX2CT!$D$2:$D$200=$B25)*(SMIX2CT!$H$2:$H$200="P3")*SMIX2CT!$I$2:$I$200*0.01))))</f>
        <v>1</v>
      </c>
      <c r="J25" s="0" t="n">
        <f aca="false">IF($B25="",0,COUNTIFS(SMIX2CT!$D$2:$D$200,$B25,SMIX2CT!$H$2:$H$200,"P4"))</f>
        <v>0</v>
      </c>
      <c r="K25" s="0" t="n">
        <f aca="false">MAX(0.5,MIN(1.5,1+IF($B25="",0,SUMPRODUCT((SMIX2CT!$D$2:$D$200=$B25)*(SMIX2CT!$H$2:$H$200="P4")*SMIX2CT!$I$2:$I$200*0.01))))</f>
        <v>1</v>
      </c>
      <c r="L25" s="0" t="n">
        <f aca="false">IF($B25="",0,COUNTIFS(SMIX2CT!$D$2:$D$200,$B25,SMIX2CT!$H$2:$H$200,"P5"))</f>
        <v>0</v>
      </c>
      <c r="M25" s="0" t="n">
        <f aca="false">MAX(0.5,MIN(1.5,1+IF($B25="",0,SUMPRODUCT((SMIX2CT!$D$2:$D$200=$B25)*(SMIX2CT!$H$2:$H$200="P5")*SMIX2CT!$I$2:$I$200*0.01))))</f>
        <v>1</v>
      </c>
      <c r="N25" s="0" t="n">
        <f aca="false">IF($B25="",0,IFERROR(SUMPRODUCT((SMIX2CT!$D$2:$D$200=$B25)*SMIX2CT!$I$2:$I$200),0))</f>
        <v>0</v>
      </c>
      <c r="O25" s="0" t="n">
        <f aca="false">D25+F25+H25+J25+L25</f>
        <v>0</v>
      </c>
    </row>
    <row r="26" customFormat="false" ht="15.75" hidden="false" customHeight="false" outlineLevel="0" collapsed="false">
      <c r="D26" s="0" t="n">
        <f aca="false">IF($B26="",0,COUNTIFS(SMIX2CT!$D$2:$D$200,$B26,SMIX2CT!$H$2:$H$200,"P1"))</f>
        <v>0</v>
      </c>
      <c r="E26" s="0" t="n">
        <f aca="false">MAX(0.5,MIN(1.5,1+IF($B26="",0,SUMPRODUCT((SMIX2CT!$D$2:$D$200=$B26)*(SMIX2CT!$H$2:$H$200="P1")*SMIX2CT!$I$2:$I$200*0.01))))</f>
        <v>1</v>
      </c>
      <c r="F26" s="0" t="n">
        <f aca="false">IF($B26="",0,COUNTIFS(SMIX2CT!$D$2:$D$200,$B26,SMIX2CT!$H$2:$H$200,"P2"))</f>
        <v>0</v>
      </c>
      <c r="G26" s="0" t="n">
        <f aca="false">MAX(0.5,MIN(1.5,1+IF($B26="",0,SUMPRODUCT((SMIX2CT!$D$2:$D$200=$B26)*(SMIX2CT!$H$2:$H$200="P2")*SMIX2CT!$I$2:$I$200*0.01))))</f>
        <v>1</v>
      </c>
      <c r="H26" s="0" t="n">
        <f aca="false">IF($B26="",0,COUNTIFS(SMIX2CT!$D$2:$D$200,$B26,SMIX2CT!$H$2:$H$200,"P3"))</f>
        <v>0</v>
      </c>
      <c r="I26" s="0" t="n">
        <f aca="false">MAX(0.5,MIN(1.5,1+IF($B26="",0,SUMPRODUCT((SMIX2CT!$D$2:$D$200=$B26)*(SMIX2CT!$H$2:$H$200="P3")*SMIX2CT!$I$2:$I$200*0.01))))</f>
        <v>1</v>
      </c>
      <c r="J26" s="0" t="n">
        <f aca="false">IF($B26="",0,COUNTIFS(SMIX2CT!$D$2:$D$200,$B26,SMIX2CT!$H$2:$H$200,"P4"))</f>
        <v>0</v>
      </c>
      <c r="K26" s="0" t="n">
        <f aca="false">MAX(0.5,MIN(1.5,1+IF($B26="",0,SUMPRODUCT((SMIX2CT!$D$2:$D$200=$B26)*(SMIX2CT!$H$2:$H$200="P4")*SMIX2CT!$I$2:$I$200*0.01))))</f>
        <v>1</v>
      </c>
      <c r="L26" s="0" t="n">
        <f aca="false">IF($B26="",0,COUNTIFS(SMIX2CT!$D$2:$D$200,$B26,SMIX2CT!$H$2:$H$200,"P5"))</f>
        <v>0</v>
      </c>
      <c r="M26" s="0" t="n">
        <f aca="false">MAX(0.5,MIN(1.5,1+IF($B26="",0,SUMPRODUCT((SMIX2CT!$D$2:$D$200=$B26)*(SMIX2CT!$H$2:$H$200="P5")*SMIX2CT!$I$2:$I$200*0.01))))</f>
        <v>1</v>
      </c>
      <c r="N26" s="0" t="n">
        <f aca="false">IF($B26="",0,IFERROR(SUMPRODUCT((SMIX2CT!$D$2:$D$200=$B26)*SMIX2CT!$I$2:$I$200),0))</f>
        <v>0</v>
      </c>
      <c r="O26" s="0" t="n">
        <f aca="false">D26+F26+H26+J26+L26</f>
        <v>0</v>
      </c>
    </row>
    <row r="27" customFormat="false" ht="15.75" hidden="false" customHeight="false" outlineLevel="0" collapsed="false">
      <c r="D27" s="0" t="n">
        <f aca="false">IF($B27="",0,COUNTIFS(SMIX2CT!$D$2:$D$200,$B27,SMIX2CT!$H$2:$H$200,"P1"))</f>
        <v>0</v>
      </c>
      <c r="E27" s="0" t="n">
        <f aca="false">MAX(0.5,MIN(1.5,1+IF($B27="",0,SUMPRODUCT((SMIX2CT!$D$2:$D$200=$B27)*(SMIX2CT!$H$2:$H$200="P1")*SMIX2CT!$I$2:$I$200*0.01))))</f>
        <v>1</v>
      </c>
      <c r="F27" s="0" t="n">
        <f aca="false">IF($B27="",0,COUNTIFS(SMIX2CT!$D$2:$D$200,$B27,SMIX2CT!$H$2:$H$200,"P2"))</f>
        <v>0</v>
      </c>
      <c r="G27" s="0" t="n">
        <f aca="false">MAX(0.5,MIN(1.5,1+IF($B27="",0,SUMPRODUCT((SMIX2CT!$D$2:$D$200=$B27)*(SMIX2CT!$H$2:$H$200="P2")*SMIX2CT!$I$2:$I$200*0.01))))</f>
        <v>1</v>
      </c>
      <c r="H27" s="0" t="n">
        <f aca="false">IF($B27="",0,COUNTIFS(SMIX2CT!$D$2:$D$200,$B27,SMIX2CT!$H$2:$H$200,"P3"))</f>
        <v>0</v>
      </c>
      <c r="I27" s="0" t="n">
        <f aca="false">MAX(0.5,MIN(1.5,1+IF($B27="",0,SUMPRODUCT((SMIX2CT!$D$2:$D$200=$B27)*(SMIX2CT!$H$2:$H$200="P3")*SMIX2CT!$I$2:$I$200*0.01))))</f>
        <v>1</v>
      </c>
      <c r="J27" s="0" t="n">
        <f aca="false">IF($B27="",0,COUNTIFS(SMIX2CT!$D$2:$D$200,$B27,SMIX2CT!$H$2:$H$200,"P4"))</f>
        <v>0</v>
      </c>
      <c r="K27" s="0" t="n">
        <f aca="false">MAX(0.5,MIN(1.5,1+IF($B27="",0,SUMPRODUCT((SMIX2CT!$D$2:$D$200=$B27)*(SMIX2CT!$H$2:$H$200="P4")*SMIX2CT!$I$2:$I$200*0.01))))</f>
        <v>1</v>
      </c>
      <c r="L27" s="0" t="n">
        <f aca="false">IF($B27="",0,COUNTIFS(SMIX2CT!$D$2:$D$200,$B27,SMIX2CT!$H$2:$H$200,"P5"))</f>
        <v>0</v>
      </c>
      <c r="M27" s="0" t="n">
        <f aca="false">MAX(0.5,MIN(1.5,1+IF($B27="",0,SUMPRODUCT((SMIX2CT!$D$2:$D$200=$B27)*(SMIX2CT!$H$2:$H$200="P5")*SMIX2CT!$I$2:$I$200*0.01))))</f>
        <v>1</v>
      </c>
      <c r="N27" s="0" t="n">
        <f aca="false">IF($B27="",0,IFERROR(SUMPRODUCT((SMIX2CT!$D$2:$D$200=$B27)*SMIX2CT!$I$2:$I$200),0))</f>
        <v>0</v>
      </c>
      <c r="O27" s="0" t="n">
        <f aca="false">D27+F27+H27+J27+L27</f>
        <v>0</v>
      </c>
    </row>
    <row r="28" customFormat="false" ht="15.75" hidden="false" customHeight="false" outlineLevel="0" collapsed="false">
      <c r="D28" s="0" t="n">
        <f aca="false">IF($B28="",0,COUNTIFS(SMIX2CT!$D$2:$D$200,$B28,SMIX2CT!$H$2:$H$200,"P1"))</f>
        <v>0</v>
      </c>
      <c r="E28" s="0" t="n">
        <f aca="false">MAX(0.5,MIN(1.5,1+IF($B28="",0,SUMPRODUCT((SMIX2CT!$D$2:$D$200=$B28)*(SMIX2CT!$H$2:$H$200="P1")*SMIX2CT!$I$2:$I$200*0.01))))</f>
        <v>1</v>
      </c>
      <c r="F28" s="0" t="n">
        <f aca="false">IF($B28="",0,COUNTIFS(SMIX2CT!$D$2:$D$200,$B28,SMIX2CT!$H$2:$H$200,"P2"))</f>
        <v>0</v>
      </c>
      <c r="G28" s="0" t="n">
        <f aca="false">MAX(0.5,MIN(1.5,1+IF($B28="",0,SUMPRODUCT((SMIX2CT!$D$2:$D$200=$B28)*(SMIX2CT!$H$2:$H$200="P2")*SMIX2CT!$I$2:$I$200*0.01))))</f>
        <v>1</v>
      </c>
      <c r="H28" s="0" t="n">
        <f aca="false">IF($B28="",0,COUNTIFS(SMIX2CT!$D$2:$D$200,$B28,SMIX2CT!$H$2:$H$200,"P3"))</f>
        <v>0</v>
      </c>
      <c r="I28" s="0" t="n">
        <f aca="false">MAX(0.5,MIN(1.5,1+IF($B28="",0,SUMPRODUCT((SMIX2CT!$D$2:$D$200=$B28)*(SMIX2CT!$H$2:$H$200="P3")*SMIX2CT!$I$2:$I$200*0.01))))</f>
        <v>1</v>
      </c>
      <c r="J28" s="0" t="n">
        <f aca="false">IF($B28="",0,COUNTIFS(SMIX2CT!$D$2:$D$200,$B28,SMIX2CT!$H$2:$H$200,"P4"))</f>
        <v>0</v>
      </c>
      <c r="K28" s="0" t="n">
        <f aca="false">MAX(0.5,MIN(1.5,1+IF($B28="",0,SUMPRODUCT((SMIX2CT!$D$2:$D$200=$B28)*(SMIX2CT!$H$2:$H$200="P4")*SMIX2CT!$I$2:$I$200*0.01))))</f>
        <v>1</v>
      </c>
      <c r="L28" s="0" t="n">
        <f aca="false">IF($B28="",0,COUNTIFS(SMIX2CT!$D$2:$D$200,$B28,SMIX2CT!$H$2:$H$200,"P5"))</f>
        <v>0</v>
      </c>
      <c r="M28" s="0" t="n">
        <f aca="false">MAX(0.5,MIN(1.5,1+IF($B28="",0,SUMPRODUCT((SMIX2CT!$D$2:$D$200=$B28)*(SMIX2CT!$H$2:$H$200="P5")*SMIX2CT!$I$2:$I$200*0.01))))</f>
        <v>1</v>
      </c>
      <c r="N28" s="0" t="n">
        <f aca="false">IF($B28="",0,IFERROR(SUMPRODUCT((SMIX2CT!$D$2:$D$200=$B28)*SMIX2CT!$I$2:$I$200),0))</f>
        <v>0</v>
      </c>
      <c r="O28" s="0" t="n">
        <f aca="false">D28+F28+H28+J28+L28</f>
        <v>0</v>
      </c>
    </row>
    <row r="29" customFormat="false" ht="15.75" hidden="false" customHeight="false" outlineLevel="0" collapsed="false">
      <c r="D29" s="0" t="n">
        <f aca="false">IF($B29="",0,COUNTIFS(SMIX2CT!$D$2:$D$200,$B29,SMIX2CT!$H$2:$H$200,"P1"))</f>
        <v>0</v>
      </c>
      <c r="E29" s="0" t="n">
        <f aca="false">MAX(0.5,MIN(1.5,1+IF($B29="",0,SUMPRODUCT((SMIX2CT!$D$2:$D$200=$B29)*(SMIX2CT!$H$2:$H$200="P1")*SMIX2CT!$I$2:$I$200*0.01))))</f>
        <v>1</v>
      </c>
      <c r="F29" s="0" t="n">
        <f aca="false">IF($B29="",0,COUNTIFS(SMIX2CT!$D$2:$D$200,$B29,SMIX2CT!$H$2:$H$200,"P2"))</f>
        <v>0</v>
      </c>
      <c r="G29" s="0" t="n">
        <f aca="false">MAX(0.5,MIN(1.5,1+IF($B29="",0,SUMPRODUCT((SMIX2CT!$D$2:$D$200=$B29)*(SMIX2CT!$H$2:$H$200="P2")*SMIX2CT!$I$2:$I$200*0.01))))</f>
        <v>1</v>
      </c>
      <c r="H29" s="0" t="n">
        <f aca="false">IF($B29="",0,COUNTIFS(SMIX2CT!$D$2:$D$200,$B29,SMIX2CT!$H$2:$H$200,"P3"))</f>
        <v>0</v>
      </c>
      <c r="I29" s="0" t="n">
        <f aca="false">MAX(0.5,MIN(1.5,1+IF($B29="",0,SUMPRODUCT((SMIX2CT!$D$2:$D$200=$B29)*(SMIX2CT!$H$2:$H$200="P3")*SMIX2CT!$I$2:$I$200*0.01))))</f>
        <v>1</v>
      </c>
      <c r="J29" s="0" t="n">
        <f aca="false">IF($B29="",0,COUNTIFS(SMIX2CT!$D$2:$D$200,$B29,SMIX2CT!$H$2:$H$200,"P4"))</f>
        <v>0</v>
      </c>
      <c r="K29" s="0" t="n">
        <f aca="false">MAX(0.5,MIN(1.5,1+IF($B29="",0,SUMPRODUCT((SMIX2CT!$D$2:$D$200=$B29)*(SMIX2CT!$H$2:$H$200="P4")*SMIX2CT!$I$2:$I$200*0.01))))</f>
        <v>1</v>
      </c>
      <c r="L29" s="0" t="n">
        <f aca="false">IF($B29="",0,COUNTIFS(SMIX2CT!$D$2:$D$200,$B29,SMIX2CT!$H$2:$H$200,"P5"))</f>
        <v>0</v>
      </c>
      <c r="M29" s="0" t="n">
        <f aca="false">MAX(0.5,MIN(1.5,1+IF($B29="",0,SUMPRODUCT((SMIX2CT!$D$2:$D$200=$B29)*(SMIX2CT!$H$2:$H$200="P5")*SMIX2CT!$I$2:$I$200*0.01))))</f>
        <v>1</v>
      </c>
      <c r="N29" s="0" t="n">
        <f aca="false">IF($B29="",0,IFERROR(SUMPRODUCT((SMIX2CT!$D$2:$D$200=$B29)*SMIX2CT!$I$2:$I$200),0))</f>
        <v>0</v>
      </c>
      <c r="O29" s="0" t="n">
        <f aca="false">D29+F29+H29+J29+L29</f>
        <v>0</v>
      </c>
    </row>
    <row r="30" customFormat="false" ht="15.75" hidden="false" customHeight="false" outlineLevel="0" collapsed="false">
      <c r="A30" s="0" t="s">
        <v>103</v>
      </c>
      <c r="B30" s="0" t="s">
        <v>104</v>
      </c>
      <c r="C30" s="0" t="s">
        <v>194</v>
      </c>
      <c r="D30" s="0" t="n">
        <f aca="false">IF($B30="",0,COUNTIFS(SMIX2CT!$D$2:$D$200,$B30,SMIX2CT!$H$2:$H$200,"P1"))</f>
        <v>0</v>
      </c>
      <c r="E30" s="0" t="n">
        <f aca="false">MAX(0.5,MIN(1.5,1+IF($B30="",0,SUMPRODUCT((SMIX2CT!$D$2:$D$200=$B30)*(SMIX2CT!$H$2:$H$200="P1")*SMIX2CT!$I$2:$I$200*0.01))))</f>
        <v>1</v>
      </c>
      <c r="F30" s="0" t="n">
        <f aca="false">IF($B30="",0,COUNTIFS(SMIX2CT!$D$2:$D$200,$B30,SMIX2CT!$H$2:$H$200,"P2"))</f>
        <v>0</v>
      </c>
      <c r="G30" s="0" t="n">
        <f aca="false">MAX(0.5,MIN(1.5,1+IF($B30="",0,SUMPRODUCT((SMIX2CT!$D$2:$D$200=$B30)*(SMIX2CT!$H$2:$H$200="P2")*SMIX2CT!$I$2:$I$200*0.01))))</f>
        <v>1</v>
      </c>
      <c r="H30" s="0" t="n">
        <f aca="false">IF($B30="",0,COUNTIFS(SMIX2CT!$D$2:$D$200,$B30,SMIX2CT!$H$2:$H$200,"P3"))</f>
        <v>0</v>
      </c>
      <c r="I30" s="0" t="n">
        <f aca="false">MAX(0.5,MIN(1.5,1+IF($B30="",0,SUMPRODUCT((SMIX2CT!$D$2:$D$200=$B30)*(SMIX2CT!$H$2:$H$200="P3")*SMIX2CT!$I$2:$I$200*0.01))))</f>
        <v>1</v>
      </c>
      <c r="J30" s="0" t="n">
        <f aca="false">IF($B30="",0,COUNTIFS(SMIX2CT!$D$2:$D$200,$B30,SMIX2CT!$H$2:$H$200,"P4"))</f>
        <v>0</v>
      </c>
      <c r="K30" s="0" t="n">
        <f aca="false">MAX(0.5,MIN(1.5,1+IF($B30="",0,SUMPRODUCT((SMIX2CT!$D$2:$D$200=$B30)*(SMIX2CT!$H$2:$H$200="P4")*SMIX2CT!$I$2:$I$200*0.01))))</f>
        <v>1</v>
      </c>
      <c r="L30" s="0" t="n">
        <f aca="false">IF($B30="",0,COUNTIFS(SMIX2CT!$D$2:$D$200,$B30,SMIX2CT!$H$2:$H$200,"P5"))</f>
        <v>0</v>
      </c>
      <c r="M30" s="0" t="n">
        <f aca="false">MAX(0.5,MIN(1.5,1+IF($B30="",0,SUMPRODUCT((SMIX2CT!$D$2:$D$200=$B30)*(SMIX2CT!$H$2:$H$200="P5")*SMIX2CT!$I$2:$I$200*0.01))))</f>
        <v>1</v>
      </c>
      <c r="N30" s="0" t="n">
        <f aca="false">IF($B30="",0,IFERROR(SUMPRODUCT((SMIX2CT!$D$2:$D$200=$B30)*SMIX2CT!$I$2:$I$200),0))</f>
        <v>0</v>
      </c>
      <c r="O30" s="0" t="n">
        <f aca="false">D30+F30+H30+J30+L30</f>
        <v>0</v>
      </c>
    </row>
    <row r="31" customFormat="false" ht="15.75" hidden="false" customHeight="false" outlineLevel="0" collapsed="false">
      <c r="A31" s="0" t="s">
        <v>105</v>
      </c>
      <c r="D31" s="0" t="n">
        <f aca="false">IF($B31="",0,COUNTIFS(SMIX2CT!$D$2:$D$200,$B31,SMIX2CT!$H$2:$H$200,"P1"))</f>
        <v>0</v>
      </c>
      <c r="E31" s="0" t="n">
        <f aca="false">MAX(0.5,MIN(1.5,1+IF($B31="",0,SUMPRODUCT((SMIX2CT!$D$2:$D$200=$B31)*(SMIX2CT!$H$2:$H$200="P1")*SMIX2CT!$I$2:$I$200*0.01))))</f>
        <v>1</v>
      </c>
      <c r="F31" s="0" t="n">
        <f aca="false">IF($B31="",0,COUNTIFS(SMIX2CT!$D$2:$D$200,$B31,SMIX2CT!$H$2:$H$200,"P2"))</f>
        <v>0</v>
      </c>
      <c r="G31" s="0" t="n">
        <f aca="false">MAX(0.5,MIN(1.5,1+IF($B31="",0,SUMPRODUCT((SMIX2CT!$D$2:$D$200=$B31)*(SMIX2CT!$H$2:$H$200="P2")*SMIX2CT!$I$2:$I$200*0.01))))</f>
        <v>1</v>
      </c>
      <c r="H31" s="0" t="n">
        <f aca="false">IF($B31="",0,COUNTIFS(SMIX2CT!$D$2:$D$200,$B31,SMIX2CT!$H$2:$H$200,"P3"))</f>
        <v>0</v>
      </c>
      <c r="I31" s="0" t="n">
        <f aca="false">MAX(0.5,MIN(1.5,1+IF($B31="",0,SUMPRODUCT((SMIX2CT!$D$2:$D$200=$B31)*(SMIX2CT!$H$2:$H$200="P3")*SMIX2CT!$I$2:$I$200*0.01))))</f>
        <v>1</v>
      </c>
      <c r="J31" s="0" t="n">
        <f aca="false">IF($B31="",0,COUNTIFS(SMIX2CT!$D$2:$D$200,$B31,SMIX2CT!$H$2:$H$200,"P4"))</f>
        <v>0</v>
      </c>
      <c r="K31" s="0" t="n">
        <f aca="false">MAX(0.5,MIN(1.5,1+IF($B31="",0,SUMPRODUCT((SMIX2CT!$D$2:$D$200=$B31)*(SMIX2CT!$H$2:$H$200="P4")*SMIX2CT!$I$2:$I$200*0.01))))</f>
        <v>1</v>
      </c>
      <c r="L31" s="0" t="n">
        <f aca="false">IF($B31="",0,COUNTIFS(SMIX2CT!$D$2:$D$200,$B31,SMIX2CT!$H$2:$H$200,"P5"))</f>
        <v>0</v>
      </c>
      <c r="M31" s="0" t="n">
        <f aca="false">MAX(0.5,MIN(1.5,1+IF($B31="",0,SUMPRODUCT((SMIX2CT!$D$2:$D$200=$B31)*(SMIX2CT!$H$2:$H$200="P5")*SMIX2CT!$I$2:$I$200*0.01))))</f>
        <v>1</v>
      </c>
      <c r="N31" s="0" t="n">
        <f aca="false">IF($B31="",0,IFERROR(SUMPRODUCT((SMIX2CT!$D$2:$D$200=$B31)*SMIX2CT!$I$2:$I$200),0))</f>
        <v>0</v>
      </c>
      <c r="O31" s="0" t="n">
        <f aca="false">D31+F31+H31+J31+L31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outlinePr summaryBelow="0"/>
    <pageSetUpPr fitToPage="false"/>
  </sheetPr>
  <dimension ref="A1:I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18.88"/>
    <col collapsed="false" customWidth="true" hidden="false" outlineLevel="0" max="4" min="4" style="0" width="24.25"/>
    <col collapsed="false" customWidth="true" hidden="false" outlineLevel="0" max="5" min="5" style="0" width="31.38"/>
    <col collapsed="false" customWidth="true" hidden="false" outlineLevel="0" max="6" min="6" style="0" width="18.88"/>
    <col collapsed="false" customWidth="true" hidden="false" outlineLevel="0" max="7" min="7" style="0" width="37.13"/>
    <col collapsed="false" customWidth="true" hidden="false" outlineLevel="0" max="13" min="8" style="0" width="18.88"/>
  </cols>
  <sheetData>
    <row r="1" customFormat="false" ht="22.5" hidden="false" customHeight="true" outlineLevel="0" collapsed="false">
      <c r="A1" s="0" t="s">
        <v>39</v>
      </c>
      <c r="B1" s="0" t="s">
        <v>40</v>
      </c>
      <c r="C1" s="0" t="s">
        <v>18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</row>
    <row r="2" customFormat="false" ht="22.5" hidden="false" customHeight="true" outlineLevel="0" collapsed="false">
      <c r="A2" s="0" t="n">
        <v>45944.8538071875</v>
      </c>
      <c r="B2" s="0" t="s">
        <v>149</v>
      </c>
      <c r="C2" s="0" t="s">
        <v>20</v>
      </c>
      <c r="D2" s="0" t="s">
        <v>195</v>
      </c>
      <c r="E2" s="0" t="s">
        <v>165</v>
      </c>
      <c r="F2" s="0" t="s">
        <v>190</v>
      </c>
      <c r="G2" s="0" t="s">
        <v>196</v>
      </c>
      <c r="H2" s="0" t="str">
        <f aca="false">IF(A2="","",IFERROR(CHOOSE(SUMPRODUCT((A2&gt;=Calendari!$B$2:$B$6)*(A2&lt;=Calendari!$C$2:$C$6)*{1,2,3,4,5}),"P1","P2","P3","P4","P5"),""))</f>
        <v/>
      </c>
      <c r="I2" s="0" t="n">
        <f aca="false">IF(F2="",0,IFERROR(VALUE(LEFT(TRIM(F2),FIND(" ",TRIM(F2))-1)),0))</f>
        <v>1</v>
      </c>
    </row>
    <row r="3" customFormat="false" ht="22.5" hidden="false" customHeight="true" outlineLevel="0" collapsed="false">
      <c r="A3" s="0" t="n">
        <v>45944.8540519097</v>
      </c>
      <c r="B3" s="0" t="s">
        <v>149</v>
      </c>
      <c r="C3" s="0" t="s">
        <v>20</v>
      </c>
      <c r="D3" s="0" t="s">
        <v>197</v>
      </c>
      <c r="E3" s="0" t="s">
        <v>165</v>
      </c>
      <c r="F3" s="0" t="s">
        <v>190</v>
      </c>
      <c r="G3" s="0" t="s">
        <v>196</v>
      </c>
      <c r="H3" s="0" t="str">
        <f aca="false">IF(A3="","",IFERROR(CHOOSE(SUMPRODUCT((A3&gt;=Calendari!$B$2:$B$6)*(A3&lt;=Calendari!$C$2:$C$6)*{1,2,3,4,5}),"P1","P2","P3","P4","P5"),""))</f>
        <v/>
      </c>
      <c r="I3" s="0" t="n">
        <f aca="false">IF(F3="",0,IFERROR(VALUE(LEFT(TRIM(F3),FIND(" ",TRIM(F3))-1)),0))</f>
        <v>1</v>
      </c>
    </row>
    <row r="4" customFormat="false" ht="22.5" hidden="false" customHeight="true" outlineLevel="0" collapsed="false">
      <c r="A4" s="0" t="n">
        <v>45944.8546142477</v>
      </c>
      <c r="B4" s="0" t="s">
        <v>149</v>
      </c>
      <c r="C4" s="0" t="s">
        <v>20</v>
      </c>
      <c r="D4" s="0" t="s">
        <v>198</v>
      </c>
      <c r="E4" s="0" t="s">
        <v>165</v>
      </c>
      <c r="F4" s="0" t="s">
        <v>190</v>
      </c>
      <c r="G4" s="0" t="s">
        <v>196</v>
      </c>
      <c r="H4" s="0" t="str">
        <f aca="false">IF(A4="","",IFERROR(CHOOSE(SUMPRODUCT((A4&gt;=Calendari!$B$2:$B$6)*(A4&lt;=Calendari!$C$2:$C$6)*{1,2,3,4,5}),"P1","P2","P3","P4","P5"),""))</f>
        <v/>
      </c>
      <c r="I4" s="0" t="n">
        <f aca="false">IF(F4="",0,IFERROR(VALUE(LEFT(TRIM(F4),FIND(" ",TRIM(F4))-1)),0))</f>
        <v>1</v>
      </c>
    </row>
    <row r="5" customFormat="false" ht="22.5" hidden="false" customHeight="true" outlineLevel="0" collapsed="false">
      <c r="A5" s="0" t="n">
        <v>45944.8564214699</v>
      </c>
      <c r="B5" s="0" t="s">
        <v>149</v>
      </c>
      <c r="C5" s="0" t="s">
        <v>20</v>
      </c>
      <c r="D5" s="0" t="s">
        <v>199</v>
      </c>
      <c r="E5" s="0" t="s">
        <v>151</v>
      </c>
      <c r="F5" s="0" t="s">
        <v>161</v>
      </c>
      <c r="G5" s="0" t="s">
        <v>200</v>
      </c>
      <c r="H5" s="0" t="str">
        <f aca="false">IF(A5="","",IFERROR(CHOOSE(SUMPRODUCT((A5&gt;=Calendari!$B$2:$B$6)*(A5&lt;=Calendari!$C$2:$C$6)*{1,2,3,4,5}),"P1","P2","P3","P4","P5"),""))</f>
        <v/>
      </c>
      <c r="I5" s="0" t="n">
        <f aca="false">IF(F5="",0,IFERROR(VALUE(LEFT(TRIM(F5),FIND(" ",TRIM(F5))-1)),0))</f>
        <v>0</v>
      </c>
    </row>
    <row r="6" customFormat="false" ht="22.5" hidden="false" customHeight="true" outlineLevel="0" collapsed="false">
      <c r="A6" s="0" t="n">
        <v>45944.8569793287</v>
      </c>
      <c r="B6" s="0" t="s">
        <v>149</v>
      </c>
      <c r="C6" s="0" t="s">
        <v>20</v>
      </c>
      <c r="D6" s="0" t="s">
        <v>201</v>
      </c>
      <c r="E6" s="0" t="s">
        <v>151</v>
      </c>
      <c r="F6" s="0" t="s">
        <v>161</v>
      </c>
      <c r="G6" s="0" t="s">
        <v>200</v>
      </c>
      <c r="H6" s="0" t="str">
        <f aca="false">IF(A6="","",IFERROR(CHOOSE(SUMPRODUCT((A6&gt;=Calendari!$B$2:$B$6)*(A6&lt;=Calendari!$C$2:$C$6)*{1,2,3,4,5}),"P1","P2","P3","P4","P5"),""))</f>
        <v/>
      </c>
      <c r="I6" s="0" t="n">
        <f aca="false">IF(F6="",0,IFERROR(VALUE(LEFT(TRIM(F6),FIND(" ",TRIM(F6))-1)),0))</f>
        <v>0</v>
      </c>
    </row>
    <row r="7" customFormat="false" ht="22.5" hidden="false" customHeight="true" outlineLevel="0" collapsed="false">
      <c r="A7" s="0" t="n">
        <v>45944.8594821875</v>
      </c>
      <c r="B7" s="0" t="s">
        <v>149</v>
      </c>
      <c r="C7" s="0" t="s">
        <v>20</v>
      </c>
      <c r="D7" s="0" t="s">
        <v>202</v>
      </c>
      <c r="E7" s="0" t="s">
        <v>151</v>
      </c>
      <c r="F7" s="0" t="s">
        <v>161</v>
      </c>
      <c r="G7" s="0" t="s">
        <v>203</v>
      </c>
      <c r="H7" s="0" t="str">
        <f aca="false">IF(A7="","",IFERROR(CHOOSE(SUMPRODUCT((A7&gt;=Calendari!$B$2:$B$6)*(A7&lt;=Calendari!$C$2:$C$6)*{1,2,3,4,5}),"P1","P2","P3","P4","P5"),""))</f>
        <v/>
      </c>
      <c r="I7" s="0" t="n">
        <f aca="false">IF(F7="",0,IFERROR(VALUE(LEFT(TRIM(F7),FIND(" ",TRIM(F7))-1)),0))</f>
        <v>0</v>
      </c>
    </row>
    <row r="8" customFormat="false" ht="22.5" hidden="false" customHeight="true" outlineLevel="0" collapsed="false">
      <c r="A8" s="0" t="n">
        <v>45944.8656044907</v>
      </c>
      <c r="B8" s="0" t="s">
        <v>149</v>
      </c>
      <c r="C8" s="0" t="s">
        <v>20</v>
      </c>
      <c r="D8" s="0" t="s">
        <v>204</v>
      </c>
      <c r="E8" s="0" t="s">
        <v>151</v>
      </c>
      <c r="F8" s="0" t="s">
        <v>190</v>
      </c>
      <c r="G8" s="0" t="s">
        <v>205</v>
      </c>
      <c r="H8" s="0" t="str">
        <f aca="false">IF(A8="","",IFERROR(CHOOSE(SUMPRODUCT((A8&gt;=Calendari!$B$2:$B$6)*(A8&lt;=Calendari!$C$2:$C$6)*{1,2,3,4,5}),"P1","P2","P3","P4","P5"),""))</f>
        <v/>
      </c>
      <c r="I8" s="0" t="n">
        <f aca="false">IF(F8="",0,IFERROR(VALUE(LEFT(TRIM(F8),FIND(" ",TRIM(F8))-1)),0))</f>
        <v>1</v>
      </c>
    </row>
    <row r="9" customFormat="false" ht="22.5" hidden="false" customHeight="true" outlineLevel="0" collapsed="false">
      <c r="A9" s="0" t="n">
        <v>45944.8660971296</v>
      </c>
      <c r="B9" s="0" t="s">
        <v>149</v>
      </c>
      <c r="C9" s="0" t="s">
        <v>20</v>
      </c>
      <c r="D9" s="0" t="s">
        <v>206</v>
      </c>
      <c r="E9" s="0" t="s">
        <v>151</v>
      </c>
      <c r="F9" s="0" t="s">
        <v>190</v>
      </c>
      <c r="G9" s="0" t="s">
        <v>205</v>
      </c>
      <c r="H9" s="0" t="str">
        <f aca="false">IF(A9="","",IFERROR(CHOOSE(SUMPRODUCT((A9&gt;=Calendari!$B$2:$B$6)*(A9&lt;=Calendari!$C$2:$C$6)*{1,2,3,4,5}),"P1","P2","P3","P4","P5"),""))</f>
        <v/>
      </c>
      <c r="I9" s="0" t="n">
        <f aca="false">IF(F9="",0,IFERROR(VALUE(LEFT(TRIM(F9),FIND(" ",TRIM(F9))-1)),0))</f>
        <v>1</v>
      </c>
    </row>
    <row r="10" customFormat="false" ht="22.5" hidden="false" customHeight="true" outlineLevel="0" collapsed="false">
      <c r="A10" s="0" t="n">
        <v>45944.8664268287</v>
      </c>
      <c r="B10" s="0" t="s">
        <v>149</v>
      </c>
      <c r="C10" s="0" t="s">
        <v>20</v>
      </c>
      <c r="D10" s="0" t="s">
        <v>207</v>
      </c>
      <c r="E10" s="0" t="s">
        <v>151</v>
      </c>
      <c r="F10" s="0" t="s">
        <v>190</v>
      </c>
      <c r="G10" s="0" t="s">
        <v>205</v>
      </c>
      <c r="H10" s="0" t="str">
        <f aca="false">IF(A10="","",IFERROR(CHOOSE(SUMPRODUCT((A10&gt;=Calendari!$B$2:$B$6)*(A10&lt;=Calendari!$C$2:$C$6)*{1,2,3,4,5}),"P1","P2","P3","P4","P5"),""))</f>
        <v/>
      </c>
      <c r="I10" s="0" t="n">
        <f aca="false">IF(F10="",0,IFERROR(VALUE(LEFT(TRIM(F10),FIND(" ",TRIM(F10))-1)),0))</f>
        <v>1</v>
      </c>
    </row>
    <row r="11" customFormat="false" ht="22.5" hidden="false" customHeight="true" outlineLevel="0" collapsed="false">
      <c r="A11" s="0" t="n">
        <v>45989.8090288773</v>
      </c>
      <c r="B11" s="0" t="s">
        <v>149</v>
      </c>
      <c r="C11" s="0" t="s">
        <v>20</v>
      </c>
      <c r="D11" s="0" t="s">
        <v>202</v>
      </c>
      <c r="E11" s="0" t="s">
        <v>165</v>
      </c>
      <c r="F11" s="0" t="s">
        <v>152</v>
      </c>
      <c r="G11" s="0" t="s">
        <v>208</v>
      </c>
      <c r="H11" s="0" t="str">
        <f aca="false">IF(A11="","",IFERROR(CHOOSE(SUMPRODUCT((A11&gt;=Calendari!$B$2:$B$6)*(A11&lt;=Calendari!$C$2:$C$6)*{1,2,3,4,5}),"P1","P2","P3","P4","P5"),""))</f>
        <v/>
      </c>
      <c r="I11" s="0" t="n">
        <f aca="false">IF(F11="",0,IFERROR(VALUE(LEFT(TRIM(F11),FIND(" ",TRIM(F11))-1)),0))</f>
        <v>2</v>
      </c>
    </row>
    <row r="12" customFormat="false" ht="22.5" hidden="false" customHeight="true" outlineLevel="0" collapsed="false">
      <c r="A12" s="0" t="n">
        <v>45989.8093148843</v>
      </c>
      <c r="B12" s="0" t="s">
        <v>149</v>
      </c>
      <c r="C12" s="0" t="s">
        <v>20</v>
      </c>
      <c r="D12" s="0" t="s">
        <v>209</v>
      </c>
      <c r="E12" s="0" t="s">
        <v>165</v>
      </c>
      <c r="F12" s="0" t="s">
        <v>152</v>
      </c>
      <c r="G12" s="0" t="s">
        <v>208</v>
      </c>
      <c r="H12" s="0" t="str">
        <f aca="false">IF(A12="","",IFERROR(CHOOSE(SUMPRODUCT((A12&gt;=Calendari!$B$2:$B$6)*(A12&lt;=Calendari!$C$2:$C$6)*{1,2,3,4,5}),"P1","P2","P3","P4","P5"),""))</f>
        <v/>
      </c>
      <c r="I12" s="0" t="n">
        <f aca="false">IF(F12="",0,IFERROR(VALUE(LEFT(TRIM(F12),FIND(" ",TRIM(F12))-1)),0))</f>
        <v>2</v>
      </c>
    </row>
    <row r="13" customFormat="false" ht="22.5" hidden="false" customHeight="true" outlineLevel="0" collapsed="false">
      <c r="A13" s="0" t="n">
        <v>45989.8096186806</v>
      </c>
      <c r="B13" s="0" t="s">
        <v>149</v>
      </c>
      <c r="C13" s="0" t="s">
        <v>20</v>
      </c>
      <c r="D13" s="0" t="s">
        <v>204</v>
      </c>
      <c r="E13" s="0" t="s">
        <v>165</v>
      </c>
      <c r="F13" s="0" t="s">
        <v>152</v>
      </c>
      <c r="G13" s="0" t="s">
        <v>208</v>
      </c>
      <c r="H13" s="0" t="str">
        <f aca="false">IF(A13="","",IFERROR(CHOOSE(SUMPRODUCT((A13&gt;=Calendari!$B$2:$B$6)*(A13&lt;=Calendari!$C$2:$C$6)*{1,2,3,4,5}),"P1","P2","P3","P4","P5"),""))</f>
        <v/>
      </c>
      <c r="I13" s="0" t="n">
        <f aca="false">IF(F13="",0,IFERROR(VALUE(LEFT(TRIM(F13),FIND(" ",TRIM(F13))-1)),0))</f>
        <v>2</v>
      </c>
    </row>
    <row r="14" customFormat="false" ht="22.5" hidden="false" customHeight="true" outlineLevel="0" collapsed="false">
      <c r="A14" s="0" t="n">
        <v>45989.8099025232</v>
      </c>
      <c r="B14" s="0" t="s">
        <v>149</v>
      </c>
      <c r="C14" s="0" t="s">
        <v>20</v>
      </c>
      <c r="D14" s="0" t="s">
        <v>207</v>
      </c>
      <c r="E14" s="0" t="s">
        <v>165</v>
      </c>
      <c r="F14" s="0" t="s">
        <v>152</v>
      </c>
      <c r="G14" s="0" t="s">
        <v>208</v>
      </c>
      <c r="H14" s="0" t="str">
        <f aca="false">IF(A14="","",IFERROR(CHOOSE(SUMPRODUCT((A14&gt;=Calendari!$B$2:$B$6)*(A14&lt;=Calendari!$C$2:$C$6)*{1,2,3,4,5}),"P1","P2","P3","P4","P5"),""))</f>
        <v/>
      </c>
      <c r="I14" s="0" t="n">
        <f aca="false">IF(F14="",0,IFERROR(VALUE(LEFT(TRIM(F14),FIND(" ",TRIM(F14))-1)),0))</f>
        <v>2</v>
      </c>
    </row>
    <row r="15" customFormat="false" ht="22.5" hidden="false" customHeight="true" outlineLevel="0" collapsed="false">
      <c r="A15" s="0" t="n">
        <v>46007.9038673727</v>
      </c>
      <c r="B15" s="0" t="s">
        <v>149</v>
      </c>
      <c r="C15" s="0" t="s">
        <v>20</v>
      </c>
      <c r="D15" s="0" t="s">
        <v>210</v>
      </c>
      <c r="E15" s="0" t="s">
        <v>151</v>
      </c>
      <c r="F15" s="0" t="s">
        <v>159</v>
      </c>
      <c r="G15" s="0" t="s">
        <v>211</v>
      </c>
      <c r="H15" s="0" t="str">
        <f aca="false">IF(A15="","",IFERROR(CHOOSE(SUMPRODUCT((A15&gt;=Calendari!$B$2:$B$6)*(A15&lt;=Calendari!$C$2:$C$6)*{1,2,3,4,5}),"P1","P2","P3","P4","P5"),""))</f>
        <v/>
      </c>
      <c r="I15" s="0" t="n">
        <f aca="false">IF(F15="",0,IFERROR(VALUE(LEFT(TRIM(F15),FIND(" ",TRIM(F15))-1)),0))</f>
        <v>-1</v>
      </c>
    </row>
    <row r="16" customFormat="false" ht="22.5" hidden="false" customHeight="true" outlineLevel="0" collapsed="false">
      <c r="A16" s="0" t="n">
        <v>46077.7732879514</v>
      </c>
      <c r="B16" s="0" t="s">
        <v>212</v>
      </c>
      <c r="C16" s="0" t="s">
        <v>22</v>
      </c>
      <c r="D16" s="0" t="s">
        <v>213</v>
      </c>
      <c r="E16" s="0" t="s">
        <v>165</v>
      </c>
      <c r="F16" s="0" t="s">
        <v>159</v>
      </c>
      <c r="G16" s="0" t="s">
        <v>214</v>
      </c>
      <c r="H16" s="0" t="str">
        <f aca="false">IF(A16="","",IFERROR(CHOOSE(SUMPRODUCT((A16&gt;=Calendari!$B$2:$B$6)*(A16&lt;=Calendari!$C$2:$C$6)*{1,2,3,4,5}),"P1","P2","P3","P4","P5"),""))</f>
        <v/>
      </c>
      <c r="I16" s="0" t="n">
        <f aca="false">IF(F16="",0,IFERROR(VALUE(LEFT(TRIM(F16),FIND(" ",TRIM(F16))-1)),0))</f>
        <v>-1</v>
      </c>
    </row>
    <row r="17" customFormat="false" ht="22.5" hidden="false" customHeight="true" outlineLevel="0" collapsed="false">
      <c r="A17" s="0" t="n">
        <v>46084.7710956366</v>
      </c>
      <c r="B17" s="0" t="s">
        <v>212</v>
      </c>
      <c r="C17" s="0" t="s">
        <v>22</v>
      </c>
      <c r="D17" s="0" t="s">
        <v>213</v>
      </c>
      <c r="E17" s="0" t="s">
        <v>165</v>
      </c>
      <c r="F17" s="0" t="s">
        <v>159</v>
      </c>
      <c r="G17" s="0" t="s">
        <v>215</v>
      </c>
      <c r="H17" s="0" t="str">
        <f aca="false">IF(A17="","",IFERROR(CHOOSE(SUMPRODUCT((A17&gt;=Calendari!$B$2:$B$6)*(A17&lt;=Calendari!$C$2:$C$6)*{1,2,3,4,5}),"P1","P2","P3","P4","P5"),""))</f>
        <v/>
      </c>
      <c r="I17" s="0" t="n">
        <f aca="false">IF(F17="",0,IFERROR(VALUE(LEFT(TRIM(F17),FIND(" ",TRIM(F17))-1)),0))</f>
        <v>-1</v>
      </c>
    </row>
    <row r="18" customFormat="false" ht="22.5" hidden="false" customHeight="true" outlineLevel="0" collapsed="false">
      <c r="A18" s="0" t="n">
        <v>46147.7421720949</v>
      </c>
      <c r="B18" s="0" t="s">
        <v>212</v>
      </c>
      <c r="C18" s="0" t="s">
        <v>22</v>
      </c>
      <c r="D18" s="0" t="s">
        <v>210</v>
      </c>
      <c r="E18" s="0" t="s">
        <v>165</v>
      </c>
      <c r="F18" s="0" t="s">
        <v>159</v>
      </c>
      <c r="G18" s="0" t="s">
        <v>216</v>
      </c>
      <c r="H18" s="0" t="str">
        <f aca="false">IF(A18="","",IFERROR(CHOOSE(SUMPRODUCT((A18&gt;=Calendari!$B$2:$B$6)*(A18&lt;=Calendari!$C$2:$C$6)*{1,2,3,4,5}),"P1","P2","P3","P4","P5"),""))</f>
        <v/>
      </c>
      <c r="I18" s="0" t="n">
        <f aca="false">IF(F18="",0,IFERROR(VALUE(LEFT(TRIM(F18),FIND(" ",TRIM(F18))-1)),0))</f>
        <v>-1</v>
      </c>
    </row>
    <row r="19" customFormat="false" ht="22.5" hidden="false" customHeight="true" outlineLevel="0" collapsed="false">
      <c r="A19" s="0" t="n">
        <v>46147.7423819907</v>
      </c>
      <c r="B19" s="0" t="s">
        <v>212</v>
      </c>
      <c r="C19" s="0" t="s">
        <v>22</v>
      </c>
      <c r="D19" s="0" t="s">
        <v>217</v>
      </c>
      <c r="E19" s="0" t="s">
        <v>165</v>
      </c>
      <c r="F19" s="0" t="s">
        <v>159</v>
      </c>
      <c r="G19" s="0" t="s">
        <v>216</v>
      </c>
      <c r="H19" s="0" t="str">
        <f aca="false">IF(A19="","",IFERROR(CHOOSE(SUMPRODUCT((A19&gt;=Calendari!$B$2:$B$6)*(A19&lt;=Calendari!$C$2:$C$6)*{1,2,3,4,5}),"P1","P2","P3","P4","P5"),""))</f>
        <v/>
      </c>
      <c r="I19" s="0" t="n">
        <f aca="false">IF(F19="",0,IFERROR(VALUE(LEFT(TRIM(F19),FIND(" ",TRIM(F19))-1)),0))</f>
        <v>-1</v>
      </c>
    </row>
    <row r="20" customFormat="false" ht="22.5" hidden="false" customHeight="true" outlineLevel="0" collapsed="false">
      <c r="A20" s="0" t="n">
        <v>46147.7427430556</v>
      </c>
      <c r="B20" s="0" t="s">
        <v>212</v>
      </c>
      <c r="C20" s="0" t="s">
        <v>22</v>
      </c>
      <c r="D20" s="0" t="s">
        <v>213</v>
      </c>
      <c r="E20" s="0" t="s">
        <v>165</v>
      </c>
      <c r="F20" s="0" t="s">
        <v>159</v>
      </c>
      <c r="G20" s="0" t="s">
        <v>216</v>
      </c>
      <c r="H20" s="0" t="str">
        <f aca="false">IF(A20="","",IFERROR(CHOOSE(SUMPRODUCT((A20&gt;=Calendari!$B$2:$B$6)*(A20&lt;=Calendari!$C$2:$C$6)*{1,2,3,4,5}),"P1","P2","P3","P4","P5"),""))</f>
        <v/>
      </c>
      <c r="I20" s="0" t="n">
        <f aca="false">IF(F20="",0,IFERROR(VALUE(LEFT(TRIM(F20),FIND(" ",TRIM(F20))-1)),0))</f>
        <v>-1</v>
      </c>
    </row>
    <row r="21" customFormat="false" ht="15.75" hidden="false" customHeight="false" outlineLevel="0" collapsed="false">
      <c r="H21" s="0" t="str">
        <f aca="false">IF(A21="","",IFERROR(CHOOSE(SUMPRODUCT((A21&gt;=Calendari!$B$2:$B$6)*(A21&lt;=Calendari!$C$2:$C$6)*{1,2,3,4,5}),"P1","P2","P3","P4","P5"),""))</f>
        <v/>
      </c>
      <c r="I21" s="0" t="n">
        <f aca="false">IF(F21="",0,IFERROR(VALUE(LEFT(TRIM(F21),FIND(" ",TRIM(F21))-1)),0))</f>
        <v>0</v>
      </c>
    </row>
    <row r="22" customFormat="false" ht="15.75" hidden="false" customHeight="false" outlineLevel="0" collapsed="false">
      <c r="H22" s="0" t="str">
        <f aca="false">IF(A22="","",IFERROR(CHOOSE(SUMPRODUCT((A22&gt;=Calendari!$B$2:$B$6)*(A22&lt;=Calendari!$C$2:$C$6)*{1,2,3,4,5}),"P1","P2","P3","P4","P5"),""))</f>
        <v/>
      </c>
      <c r="I22" s="0" t="n">
        <f aca="false">IF(F22="",0,IFERROR(VALUE(LEFT(TRIM(F22),FIND(" ",TRIM(F22))-1)),0))</f>
        <v>0</v>
      </c>
    </row>
    <row r="23" customFormat="false" ht="15.75" hidden="false" customHeight="false" outlineLevel="0" collapsed="false">
      <c r="H23" s="0" t="str">
        <f aca="false">IF(A23="","",IFERROR(CHOOSE(SUMPRODUCT((A23&gt;=Calendari!$B$2:$B$6)*(A23&lt;=Calendari!$C$2:$C$6)*{1,2,3,4,5}),"P1","P2","P3","P4","P5"),""))</f>
        <v/>
      </c>
      <c r="I23" s="0" t="n">
        <f aca="false">IF(F23="",0,IFERROR(VALUE(LEFT(TRIM(F23),FIND(" ",TRIM(F23))-1)),0))</f>
        <v>0</v>
      </c>
    </row>
    <row r="24" customFormat="false" ht="15.75" hidden="false" customHeight="false" outlineLevel="0" collapsed="false">
      <c r="H24" s="0" t="str">
        <f aca="false">IF(A24="","",IFERROR(CHOOSE(SUMPRODUCT((A24&gt;=Calendari!$B$2:$B$6)*(A24&lt;=Calendari!$C$2:$C$6)*{1,2,3,4,5}),"P1","P2","P3","P4","P5"),""))</f>
        <v/>
      </c>
      <c r="I24" s="0" t="n">
        <f aca="false">IF(F24="",0,IFERROR(VALUE(LEFT(TRIM(F24),FIND(" ",TRIM(F24))-1)),0))</f>
        <v>0</v>
      </c>
    </row>
    <row r="25" customFormat="false" ht="15.75" hidden="false" customHeight="false" outlineLevel="0" collapsed="false">
      <c r="H25" s="0" t="str">
        <f aca="false">IF(A25="","",IFERROR(CHOOSE(SUMPRODUCT((A25&gt;=Calendari!$B$2:$B$6)*(A25&lt;=Calendari!$C$2:$C$6)*{1,2,3,4,5}),"P1","P2","P3","P4","P5"),""))</f>
        <v/>
      </c>
      <c r="I25" s="0" t="n">
        <f aca="false">IF(F25="",0,IFERROR(VALUE(LEFT(TRIM(F25),FIND(" ",TRIM(F25))-1)),0))</f>
        <v>0</v>
      </c>
    </row>
    <row r="26" customFormat="false" ht="15.75" hidden="false" customHeight="false" outlineLevel="0" collapsed="false">
      <c r="H26" s="0" t="str">
        <f aca="false">IF(A26="","",IFERROR(CHOOSE(SUMPRODUCT((A26&gt;=Calendari!$B$2:$B$6)*(A26&lt;=Calendari!$C$2:$C$6)*{1,2,3,4,5}),"P1","P2","P3","P4","P5"),""))</f>
        <v/>
      </c>
      <c r="I26" s="0" t="n">
        <f aca="false">IF(F26="",0,IFERROR(VALUE(LEFT(TRIM(F26),FIND(" ",TRIM(F26))-1)),0))</f>
        <v>0</v>
      </c>
    </row>
    <row r="27" customFormat="false" ht="15.75" hidden="false" customHeight="false" outlineLevel="0" collapsed="false">
      <c r="H27" s="0" t="str">
        <f aca="false">IF(A27="","",IFERROR(CHOOSE(SUMPRODUCT((A27&gt;=Calendari!$B$2:$B$6)*(A27&lt;=Calendari!$C$2:$C$6)*{1,2,3,4,5}),"P1","P2","P3","P4","P5"),""))</f>
        <v/>
      </c>
      <c r="I27" s="0" t="n">
        <f aca="false">IF(F27="",0,IFERROR(VALUE(LEFT(TRIM(F27),FIND(" ",TRIM(F27))-1)),0))</f>
        <v>0</v>
      </c>
    </row>
    <row r="28" customFormat="false" ht="15.75" hidden="false" customHeight="false" outlineLevel="0" collapsed="false">
      <c r="H28" s="0" t="str">
        <f aca="false">IF(A28="","",IFERROR(CHOOSE(SUMPRODUCT((A28&gt;=Calendari!$B$2:$B$6)*(A28&lt;=Calendari!$C$2:$C$6)*{1,2,3,4,5}),"P1","P2","P3","P4","P5"),""))</f>
        <v/>
      </c>
      <c r="I28" s="0" t="n">
        <f aca="false">IF(F28="",0,IFERROR(VALUE(LEFT(TRIM(F28),FIND(" ",TRIM(F28))-1)),0))</f>
        <v>0</v>
      </c>
    </row>
    <row r="29" customFormat="false" ht="15.75" hidden="false" customHeight="false" outlineLevel="0" collapsed="false">
      <c r="H29" s="0" t="str">
        <f aca="false">IF(A29="","",IFERROR(CHOOSE(SUMPRODUCT((A29&gt;=Calendari!$B$2:$B$6)*(A29&lt;=Calendari!$C$2:$C$6)*{1,2,3,4,5}),"P1","P2","P3","P4","P5"),""))</f>
        <v/>
      </c>
      <c r="I29" s="0" t="n">
        <f aca="false">IF(F29="",0,IFERROR(VALUE(LEFT(TRIM(F29),FIND(" ",TRIM(F29))-1)),0))</f>
        <v>0</v>
      </c>
    </row>
    <row r="30" customFormat="false" ht="15.75" hidden="false" customHeight="false" outlineLevel="0" collapsed="false">
      <c r="H30" s="0" t="str">
        <f aca="false">IF(A30="","",IFERROR(CHOOSE(SUMPRODUCT((A30&gt;=Calendari!$B$2:$B$6)*(A30&lt;=Calendari!$C$2:$C$6)*{1,2,3,4,5}),"P1","P2","P3","P4","P5"),""))</f>
        <v/>
      </c>
      <c r="I30" s="0" t="n">
        <f aca="false">IF(F30="",0,IFERROR(VALUE(LEFT(TRIM(F30),FIND(" ",TRIM(F30))-1)),0))</f>
        <v>0</v>
      </c>
    </row>
    <row r="31" customFormat="false" ht="15.75" hidden="false" customHeight="false" outlineLevel="0" collapsed="false">
      <c r="H31" s="0" t="str">
        <f aca="false">IF(A31="","",IFERROR(CHOOSE(SUMPRODUCT((A31&gt;=Calendari!$B$2:$B$6)*(A31&lt;=Calendari!$C$2:$C$6)*{1,2,3,4,5}),"P1","P2","P3","P4","P5"),""))</f>
        <v/>
      </c>
      <c r="I31" s="0" t="n">
        <f aca="false">IF(F31="",0,IFERROR(VALUE(LEFT(TRIM(F31),FIND(" ",TRIM(F31))-1)),0))</f>
        <v>0</v>
      </c>
    </row>
    <row r="32" customFormat="false" ht="15.75" hidden="false" customHeight="false" outlineLevel="0" collapsed="false">
      <c r="H32" s="0" t="str">
        <f aca="false">IF(A32="","",IFERROR(CHOOSE(SUMPRODUCT((A32&gt;=Calendari!$B$2:$B$6)*(A32&lt;=Calendari!$C$2:$C$6)*{1,2,3,4,5}),"P1","P2","P3","P4","P5"),""))</f>
        <v/>
      </c>
      <c r="I32" s="0" t="n">
        <f aca="false">IF(F32="",0,IFERROR(VALUE(LEFT(TRIM(F32),FIND(" ",TRIM(F32))-1)),0))</f>
        <v>0</v>
      </c>
    </row>
    <row r="33" customFormat="false" ht="15.75" hidden="false" customHeight="false" outlineLevel="0" collapsed="false">
      <c r="H33" s="0" t="str">
        <f aca="false">IF(A33="","",IFERROR(CHOOSE(SUMPRODUCT((A33&gt;=Calendari!$B$2:$B$6)*(A33&lt;=Calendari!$C$2:$C$6)*{1,2,3,4,5}),"P1","P2","P3","P4","P5"),""))</f>
        <v/>
      </c>
      <c r="I33" s="0" t="n">
        <f aca="false">IF(F33="",0,IFERROR(VALUE(LEFT(TRIM(F33),FIND(" ",TRIM(F33))-1)),0))</f>
        <v>0</v>
      </c>
    </row>
    <row r="34" customFormat="false" ht="15.75" hidden="false" customHeight="false" outlineLevel="0" collapsed="false">
      <c r="H34" s="0" t="str">
        <f aca="false">IF(A34="","",IFERROR(CHOOSE(SUMPRODUCT((A34&gt;=Calendari!$B$2:$B$6)*(A34&lt;=Calendari!$C$2:$C$6)*{1,2,3,4,5}),"P1","P2","P3","P4","P5"),""))</f>
        <v/>
      </c>
      <c r="I34" s="0" t="n">
        <f aca="false">IF(F34="",0,IFERROR(VALUE(LEFT(TRIM(F34),FIND(" ",TRIM(F34))-1)),0))</f>
        <v>0</v>
      </c>
    </row>
    <row r="35" customFormat="false" ht="15.75" hidden="false" customHeight="false" outlineLevel="0" collapsed="false">
      <c r="H35" s="0" t="str">
        <f aca="false">IF(A35="","",IFERROR(CHOOSE(SUMPRODUCT((A35&gt;=Calendari!$B$2:$B$6)*(A35&lt;=Calendari!$C$2:$C$6)*{1,2,3,4,5}),"P1","P2","P3","P4","P5"),""))</f>
        <v/>
      </c>
      <c r="I35" s="0" t="n">
        <f aca="false">IF(F35="",0,IFERROR(VALUE(LEFT(TRIM(F35),FIND(" ",TRIM(F35))-1)),0))</f>
        <v>0</v>
      </c>
    </row>
    <row r="36" customFormat="false" ht="15.75" hidden="false" customHeight="false" outlineLevel="0" collapsed="false">
      <c r="H36" s="0" t="str">
        <f aca="false">IF(A36="","",IFERROR(CHOOSE(SUMPRODUCT((A36&gt;=Calendari!$B$2:$B$6)*(A36&lt;=Calendari!$C$2:$C$6)*{1,2,3,4,5}),"P1","P2","P3","P4","P5"),""))</f>
        <v/>
      </c>
      <c r="I36" s="0" t="n">
        <f aca="false">IF(F36="",0,IFERROR(VALUE(LEFT(TRIM(F36),FIND(" ",TRIM(F36))-1)),0))</f>
        <v>0</v>
      </c>
    </row>
    <row r="37" customFormat="false" ht="15.75" hidden="false" customHeight="false" outlineLevel="0" collapsed="false">
      <c r="H37" s="0" t="str">
        <f aca="false">IF(A37="","",IFERROR(CHOOSE(SUMPRODUCT((A37&gt;=Calendari!$B$2:$B$6)*(A37&lt;=Calendari!$C$2:$C$6)*{1,2,3,4,5}),"P1","P2","P3","P4","P5"),""))</f>
        <v/>
      </c>
      <c r="I37" s="0" t="n">
        <f aca="false">IF(F37="",0,IFERROR(VALUE(LEFT(TRIM(F37),FIND(" ",TRIM(F37))-1)),0))</f>
        <v>0</v>
      </c>
    </row>
    <row r="38" customFormat="false" ht="15.75" hidden="false" customHeight="false" outlineLevel="0" collapsed="false">
      <c r="H38" s="0" t="str">
        <f aca="false">IF(A38="","",IFERROR(CHOOSE(SUMPRODUCT((A38&gt;=Calendari!$B$2:$B$6)*(A38&lt;=Calendari!$C$2:$C$6)*{1,2,3,4,5}),"P1","P2","P3","P4","P5"),""))</f>
        <v/>
      </c>
      <c r="I38" s="0" t="n">
        <f aca="false">IF(F38="",0,IFERROR(VALUE(LEFT(TRIM(F38),FIND(" ",TRIM(F38))-1)),0))</f>
        <v>0</v>
      </c>
    </row>
    <row r="39" customFormat="false" ht="15.75" hidden="false" customHeight="false" outlineLevel="0" collapsed="false">
      <c r="H39" s="0" t="str">
        <f aca="false">IF(A39="","",IFERROR(CHOOSE(SUMPRODUCT((A39&gt;=Calendari!$B$2:$B$6)*(A39&lt;=Calendari!$C$2:$C$6)*{1,2,3,4,5}),"P1","P2","P3","P4","P5"),""))</f>
        <v/>
      </c>
      <c r="I39" s="0" t="n">
        <f aca="false">IF(F39="",0,IFERROR(VALUE(LEFT(TRIM(F39),FIND(" ",TRIM(F39))-1)),0))</f>
        <v>0</v>
      </c>
    </row>
    <row r="40" customFormat="false" ht="15.75" hidden="false" customHeight="false" outlineLevel="0" collapsed="false">
      <c r="H40" s="0" t="str">
        <f aca="false">IF(A40="","",IFERROR(CHOOSE(SUMPRODUCT((A40&gt;=Calendari!$B$2:$B$6)*(A40&lt;=Calendari!$C$2:$C$6)*{1,2,3,4,5}),"P1","P2","P3","P4","P5"),""))</f>
        <v/>
      </c>
      <c r="I40" s="0" t="n">
        <f aca="false">IF(F40="",0,IFERROR(VALUE(LEFT(TRIM(F40),FIND(" ",TRIM(F40))-1)),0))</f>
        <v>0</v>
      </c>
    </row>
    <row r="41" customFormat="false" ht="15.75" hidden="false" customHeight="false" outlineLevel="0" collapsed="false">
      <c r="H41" s="0" t="str">
        <f aca="false">IF(A41="","",IFERROR(CHOOSE(SUMPRODUCT((A41&gt;=Calendari!$B$2:$B$6)*(A41&lt;=Calendari!$C$2:$C$6)*{1,2,3,4,5}),"P1","P2","P3","P4","P5"),""))</f>
        <v/>
      </c>
      <c r="I41" s="0" t="n">
        <f aca="false">IF(F41="",0,IFERROR(VALUE(LEFT(TRIM(F41),FIND(" ",TRIM(F41))-1)),0))</f>
        <v>0</v>
      </c>
    </row>
    <row r="42" customFormat="false" ht="15.75" hidden="false" customHeight="false" outlineLevel="0" collapsed="false">
      <c r="H42" s="0" t="str">
        <f aca="false">IF(A42="","",IFERROR(CHOOSE(SUMPRODUCT((A42&gt;=Calendari!$B$2:$B$6)*(A42&lt;=Calendari!$C$2:$C$6)*{1,2,3,4,5}),"P1","P2","P3","P4","P5"),""))</f>
        <v/>
      </c>
      <c r="I42" s="0" t="n">
        <f aca="false">IF(F42="",0,IFERROR(VALUE(LEFT(TRIM(F42),FIND(" ",TRIM(F42))-1)),0))</f>
        <v>0</v>
      </c>
    </row>
    <row r="43" customFormat="false" ht="15.75" hidden="false" customHeight="false" outlineLevel="0" collapsed="false">
      <c r="H43" s="0" t="str">
        <f aca="false">IF(A43="","",IFERROR(CHOOSE(SUMPRODUCT((A43&gt;=Calendari!$B$2:$B$6)*(A43&lt;=Calendari!$C$2:$C$6)*{1,2,3,4,5}),"P1","P2","P3","P4","P5"),""))</f>
        <v/>
      </c>
      <c r="I43" s="0" t="n">
        <f aca="false">IF(F43="",0,IFERROR(VALUE(LEFT(TRIM(F43),FIND(" ",TRIM(F43))-1)),0))</f>
        <v>0</v>
      </c>
    </row>
    <row r="44" customFormat="false" ht="15.75" hidden="false" customHeight="false" outlineLevel="0" collapsed="false">
      <c r="H44" s="0" t="str">
        <f aca="false">IF(A44="","",IFERROR(CHOOSE(SUMPRODUCT((A44&gt;=Calendari!$B$2:$B$6)*(A44&lt;=Calendari!$C$2:$C$6)*{1,2,3,4,5}),"P1","P2","P3","P4","P5"),""))</f>
        <v/>
      </c>
      <c r="I44" s="0" t="n">
        <f aca="false">IF(F44="",0,IFERROR(VALUE(LEFT(TRIM(F44),FIND(" ",TRIM(F44))-1)),0))</f>
        <v>0</v>
      </c>
    </row>
    <row r="45" customFormat="false" ht="15.75" hidden="false" customHeight="false" outlineLevel="0" collapsed="false">
      <c r="H45" s="0" t="str">
        <f aca="false">IF(A45="","",IFERROR(CHOOSE(SUMPRODUCT((A45&gt;=Calendari!$B$2:$B$6)*(A45&lt;=Calendari!$C$2:$C$6)*{1,2,3,4,5}),"P1","P2","P3","P4","P5"),""))</f>
        <v/>
      </c>
      <c r="I45" s="0" t="n">
        <f aca="false">IF(F45="",0,IFERROR(VALUE(LEFT(TRIM(F45),FIND(" ",TRIM(F45))-1)),0))</f>
        <v>0</v>
      </c>
    </row>
    <row r="46" customFormat="false" ht="15.75" hidden="false" customHeight="false" outlineLevel="0" collapsed="false">
      <c r="H46" s="0" t="str">
        <f aca="false">IF(A46="","",IFERROR(CHOOSE(SUMPRODUCT((A46&gt;=Calendari!$B$2:$B$6)*(A46&lt;=Calendari!$C$2:$C$6)*{1,2,3,4,5}),"P1","P2","P3","P4","P5"),""))</f>
        <v/>
      </c>
      <c r="I46" s="0" t="n">
        <f aca="false">IF(F46="",0,IFERROR(VALUE(LEFT(TRIM(F46),FIND(" ",TRIM(F46))-1)),0))</f>
        <v>0</v>
      </c>
    </row>
    <row r="47" customFormat="false" ht="15.75" hidden="false" customHeight="false" outlineLevel="0" collapsed="false">
      <c r="H47" s="0" t="str">
        <f aca="false">IF(A47="","",IFERROR(CHOOSE(SUMPRODUCT((A47&gt;=Calendari!$B$2:$B$6)*(A47&lt;=Calendari!$C$2:$C$6)*{1,2,3,4,5}),"P1","P2","P3","P4","P5"),""))</f>
        <v/>
      </c>
      <c r="I47" s="0" t="n">
        <f aca="false">IF(F47="",0,IFERROR(VALUE(LEFT(TRIM(F47),FIND(" ",TRIM(F47))-1)),0))</f>
        <v>0</v>
      </c>
    </row>
    <row r="48" customFormat="false" ht="15.75" hidden="false" customHeight="false" outlineLevel="0" collapsed="false">
      <c r="H48" s="0" t="str">
        <f aca="false">IF(A48="","",IFERROR(CHOOSE(SUMPRODUCT((A48&gt;=Calendari!$B$2:$B$6)*(A48&lt;=Calendari!$C$2:$C$6)*{1,2,3,4,5}),"P1","P2","P3","P4","P5"),""))</f>
        <v/>
      </c>
      <c r="I48" s="0" t="n">
        <f aca="false">IF(F48="",0,IFERROR(VALUE(LEFT(TRIM(F48),FIND(" ",TRIM(F48))-1)),0))</f>
        <v>0</v>
      </c>
    </row>
    <row r="49" customFormat="false" ht="15.75" hidden="false" customHeight="false" outlineLevel="0" collapsed="false">
      <c r="H49" s="0" t="str">
        <f aca="false">IF(A49="","",IFERROR(CHOOSE(SUMPRODUCT((A49&gt;=Calendari!$B$2:$B$6)*(A49&lt;=Calendari!$C$2:$C$6)*{1,2,3,4,5}),"P1","P2","P3","P4","P5"),""))</f>
        <v/>
      </c>
      <c r="I49" s="0" t="n">
        <f aca="false">IF(F49="",0,IFERROR(VALUE(LEFT(TRIM(F49),FIND(" ",TRIM(F49))-1)),0))</f>
        <v>0</v>
      </c>
    </row>
    <row r="50" customFormat="false" ht="15.75" hidden="false" customHeight="false" outlineLevel="0" collapsed="false">
      <c r="H50" s="0" t="str">
        <f aca="false">IF(A50="","",IFERROR(CHOOSE(SUMPRODUCT((A50&gt;=Calendari!$B$2:$B$6)*(A50&lt;=Calendari!$C$2:$C$6)*{1,2,3,4,5}),"P1","P2","P3","P4","P5"),""))</f>
        <v/>
      </c>
      <c r="I50" s="0" t="n">
        <f aca="false">IF(F50="",0,IFERROR(VALUE(LEFT(TRIM(F50),FIND(" ",TRIM(F50))-1)),0))</f>
        <v>0</v>
      </c>
    </row>
    <row r="51" customFormat="false" ht="15.75" hidden="false" customHeight="false" outlineLevel="0" collapsed="false">
      <c r="H51" s="0" t="str">
        <f aca="false">IF(A51="","",IFERROR(CHOOSE(SUMPRODUCT((A51&gt;=Calendari!$B$2:$B$6)*(A51&lt;=Calendari!$C$2:$C$6)*{1,2,3,4,5}),"P1","P2","P3","P4","P5"),""))</f>
        <v/>
      </c>
      <c r="I51" s="0" t="n">
        <f aca="false">IF(F51="",0,IFERROR(VALUE(LEFT(TRIM(F51),FIND(" ",TRIM(F51))-1)),0))</f>
        <v>0</v>
      </c>
    </row>
    <row r="52" customFormat="false" ht="15.75" hidden="false" customHeight="false" outlineLevel="0" collapsed="false">
      <c r="H52" s="0" t="str">
        <f aca="false">IF(A52="","",IFERROR(CHOOSE(SUMPRODUCT((A52&gt;=Calendari!$B$2:$B$6)*(A52&lt;=Calendari!$C$2:$C$6)*{1,2,3,4,5}),"P1","P2","P3","P4","P5"),""))</f>
        <v/>
      </c>
      <c r="I52" s="0" t="n">
        <f aca="false">IF(F52="",0,IFERROR(VALUE(LEFT(TRIM(F52),FIND(" ",TRIM(F52))-1)),0))</f>
        <v>0</v>
      </c>
    </row>
    <row r="53" customFormat="false" ht="15.75" hidden="false" customHeight="false" outlineLevel="0" collapsed="false">
      <c r="H53" s="0" t="str">
        <f aca="false">IF(A53="","",IFERROR(CHOOSE(SUMPRODUCT((A53&gt;=Calendari!$B$2:$B$6)*(A53&lt;=Calendari!$C$2:$C$6)*{1,2,3,4,5}),"P1","P2","P3","P4","P5"),""))</f>
        <v/>
      </c>
      <c r="I53" s="0" t="n">
        <f aca="false">IF(F53="",0,IFERROR(VALUE(LEFT(TRIM(F53),FIND(" ",TRIM(F53))-1)),0))</f>
        <v>0</v>
      </c>
    </row>
    <row r="54" customFormat="false" ht="15.75" hidden="false" customHeight="false" outlineLevel="0" collapsed="false">
      <c r="H54" s="0" t="str">
        <f aca="false">IF(A54="","",IFERROR(CHOOSE(SUMPRODUCT((A54&gt;=Calendari!$B$2:$B$6)*(A54&lt;=Calendari!$C$2:$C$6)*{1,2,3,4,5}),"P1","P2","P3","P4","P5"),""))</f>
        <v/>
      </c>
      <c r="I54" s="0" t="n">
        <f aca="false">IF(F54="",0,IFERROR(VALUE(LEFT(TRIM(F54),FIND(" ",TRIM(F54))-1)),0))</f>
        <v>0</v>
      </c>
    </row>
    <row r="55" customFormat="false" ht="15.75" hidden="false" customHeight="false" outlineLevel="0" collapsed="false">
      <c r="H55" s="0" t="str">
        <f aca="false">IF(A55="","",IFERROR(CHOOSE(SUMPRODUCT((A55&gt;=Calendari!$B$2:$B$6)*(A55&lt;=Calendari!$C$2:$C$6)*{1,2,3,4,5}),"P1","P2","P3","P4","P5"),""))</f>
        <v/>
      </c>
      <c r="I55" s="0" t="n">
        <f aca="false">IF(F55="",0,IFERROR(VALUE(LEFT(TRIM(F55),FIND(" ",TRIM(F55))-1)),0))</f>
        <v>0</v>
      </c>
    </row>
    <row r="56" customFormat="false" ht="15.75" hidden="false" customHeight="false" outlineLevel="0" collapsed="false">
      <c r="H56" s="0" t="str">
        <f aca="false">IF(A56="","",IFERROR(CHOOSE(SUMPRODUCT((A56&gt;=Calendari!$B$2:$B$6)*(A56&lt;=Calendari!$C$2:$C$6)*{1,2,3,4,5}),"P1","P2","P3","P4","P5"),""))</f>
        <v/>
      </c>
      <c r="I56" s="0" t="n">
        <f aca="false">IF(F56="",0,IFERROR(VALUE(LEFT(TRIM(F56),FIND(" ",TRIM(F56))-1)),0))</f>
        <v>0</v>
      </c>
    </row>
    <row r="57" customFormat="false" ht="15.75" hidden="false" customHeight="false" outlineLevel="0" collapsed="false">
      <c r="H57" s="0" t="str">
        <f aca="false">IF(A57="","",IFERROR(CHOOSE(SUMPRODUCT((A57&gt;=Calendari!$B$2:$B$6)*(A57&lt;=Calendari!$C$2:$C$6)*{1,2,3,4,5}),"P1","P2","P3","P4","P5"),""))</f>
        <v/>
      </c>
      <c r="I57" s="0" t="n">
        <f aca="false">IF(F57="",0,IFERROR(VALUE(LEFT(TRIM(F57),FIND(" ",TRIM(F57))-1)),0))</f>
        <v>0</v>
      </c>
    </row>
    <row r="58" customFormat="false" ht="15.75" hidden="false" customHeight="false" outlineLevel="0" collapsed="false">
      <c r="H58" s="0" t="str">
        <f aca="false">IF(A58="","",IFERROR(CHOOSE(SUMPRODUCT((A58&gt;=Calendari!$B$2:$B$6)*(A58&lt;=Calendari!$C$2:$C$6)*{1,2,3,4,5}),"P1","P2","P3","P4","P5"),""))</f>
        <v/>
      </c>
      <c r="I58" s="0" t="n">
        <f aca="false">IF(F58="",0,IFERROR(VALUE(LEFT(TRIM(F58),FIND(" ",TRIM(F58))-1)),0))</f>
        <v>0</v>
      </c>
    </row>
    <row r="59" customFormat="false" ht="15.75" hidden="false" customHeight="false" outlineLevel="0" collapsed="false">
      <c r="H59" s="0" t="str">
        <f aca="false">IF(A59="","",IFERROR(CHOOSE(SUMPRODUCT((A59&gt;=Calendari!$B$2:$B$6)*(A59&lt;=Calendari!$C$2:$C$6)*{1,2,3,4,5}),"P1","P2","P3","P4","P5"),""))</f>
        <v/>
      </c>
      <c r="I59" s="0" t="n">
        <f aca="false">IF(F59="",0,IFERROR(VALUE(LEFT(TRIM(F59),FIND(" ",TRIM(F59))-1)),0))</f>
        <v>0</v>
      </c>
    </row>
    <row r="60" customFormat="false" ht="15.75" hidden="false" customHeight="false" outlineLevel="0" collapsed="false">
      <c r="H60" s="0" t="str">
        <f aca="false">IF(A60="","",IFERROR(CHOOSE(SUMPRODUCT((A60&gt;=Calendari!$B$2:$B$6)*(A60&lt;=Calendari!$C$2:$C$6)*{1,2,3,4,5}),"P1","P2","P3","P4","P5"),""))</f>
        <v/>
      </c>
      <c r="I60" s="0" t="n">
        <f aca="false">IF(F60="",0,IFERROR(VALUE(LEFT(TRIM(F60),FIND(" ",TRIM(F60))-1)),0))</f>
        <v>0</v>
      </c>
    </row>
    <row r="61" customFormat="false" ht="15.75" hidden="false" customHeight="false" outlineLevel="0" collapsed="false">
      <c r="H61" s="0" t="str">
        <f aca="false">IF(A61="","",IFERROR(CHOOSE(SUMPRODUCT((A61&gt;=Calendari!$B$2:$B$6)*(A61&lt;=Calendari!$C$2:$C$6)*{1,2,3,4,5}),"P1","P2","P3","P4","P5"),""))</f>
        <v/>
      </c>
      <c r="I61" s="0" t="n">
        <f aca="false">IF(F61="",0,IFERROR(VALUE(LEFT(TRIM(F61),FIND(" ",TRIM(F61))-1)),0))</f>
        <v>0</v>
      </c>
    </row>
    <row r="62" customFormat="false" ht="15.75" hidden="false" customHeight="false" outlineLevel="0" collapsed="false">
      <c r="H62" s="0" t="str">
        <f aca="false">IF(A62="","",IFERROR(CHOOSE(SUMPRODUCT((A62&gt;=Calendari!$B$2:$B$6)*(A62&lt;=Calendari!$C$2:$C$6)*{1,2,3,4,5}),"P1","P2","P3","P4","P5"),""))</f>
        <v/>
      </c>
      <c r="I62" s="0" t="n">
        <f aca="false">IF(F62="",0,IFERROR(VALUE(LEFT(TRIM(F62),FIND(" ",TRIM(F62))-1)),0))</f>
        <v>0</v>
      </c>
    </row>
    <row r="63" customFormat="false" ht="15.75" hidden="false" customHeight="false" outlineLevel="0" collapsed="false">
      <c r="H63" s="0" t="str">
        <f aca="false">IF(A63="","",IFERROR(CHOOSE(SUMPRODUCT((A63&gt;=Calendari!$B$2:$B$6)*(A63&lt;=Calendari!$C$2:$C$6)*{1,2,3,4,5}),"P1","P2","P3","P4","P5"),""))</f>
        <v/>
      </c>
      <c r="I63" s="0" t="n">
        <f aca="false">IF(F63="",0,IFERROR(VALUE(LEFT(TRIM(F63),FIND(" ",TRIM(F63))-1)),0))</f>
        <v>0</v>
      </c>
    </row>
    <row r="64" customFormat="false" ht="15.75" hidden="false" customHeight="false" outlineLevel="0" collapsed="false">
      <c r="H64" s="0" t="str">
        <f aca="false">IF(A64="","",IFERROR(CHOOSE(SUMPRODUCT((A64&gt;=Calendari!$B$2:$B$6)*(A64&lt;=Calendari!$C$2:$C$6)*{1,2,3,4,5}),"P1","P2","P3","P4","P5"),""))</f>
        <v/>
      </c>
      <c r="I64" s="0" t="n">
        <f aca="false">IF(F64="",0,IFERROR(VALUE(LEFT(TRIM(F64),FIND(" ",TRIM(F64))-1)),0))</f>
        <v>0</v>
      </c>
    </row>
    <row r="65" customFormat="false" ht="15.75" hidden="false" customHeight="false" outlineLevel="0" collapsed="false">
      <c r="H65" s="0" t="str">
        <f aca="false">IF(A65="","",IFERROR(CHOOSE(SUMPRODUCT((A65&gt;=Calendari!$B$2:$B$6)*(A65&lt;=Calendari!$C$2:$C$6)*{1,2,3,4,5}),"P1","P2","P3","P4","P5"),""))</f>
        <v/>
      </c>
      <c r="I65" s="0" t="n">
        <f aca="false">IF(F65="",0,IFERROR(VALUE(LEFT(TRIM(F65),FIND(" ",TRIM(F65))-1)),0))</f>
        <v>0</v>
      </c>
    </row>
    <row r="66" customFormat="false" ht="15.75" hidden="false" customHeight="false" outlineLevel="0" collapsed="false">
      <c r="H66" s="0" t="str">
        <f aca="false">IF(A66="","",IFERROR(CHOOSE(SUMPRODUCT((A66&gt;=Calendari!$B$2:$B$6)*(A66&lt;=Calendari!$C$2:$C$6)*{1,2,3,4,5}),"P1","P2","P3","P4","P5"),""))</f>
        <v/>
      </c>
      <c r="I66" s="0" t="n">
        <f aca="false">IF(F66="",0,IFERROR(VALUE(LEFT(TRIM(F66),FIND(" ",TRIM(F66))-1)),0))</f>
        <v>0</v>
      </c>
    </row>
    <row r="67" customFormat="false" ht="15.75" hidden="false" customHeight="false" outlineLevel="0" collapsed="false">
      <c r="H67" s="0" t="str">
        <f aca="false">IF(A67="","",IFERROR(CHOOSE(SUMPRODUCT((A67&gt;=Calendari!$B$2:$B$6)*(A67&lt;=Calendari!$C$2:$C$6)*{1,2,3,4,5}),"P1","P2","P3","P4","P5"),""))</f>
        <v/>
      </c>
      <c r="I67" s="0" t="n">
        <f aca="false">IF(F67="",0,IFERROR(VALUE(LEFT(TRIM(F67),FIND(" ",TRIM(F67))-1)),0))</f>
        <v>0</v>
      </c>
    </row>
    <row r="68" customFormat="false" ht="15.75" hidden="false" customHeight="false" outlineLevel="0" collapsed="false">
      <c r="H68" s="0" t="str">
        <f aca="false">IF(A68="","",IFERROR(CHOOSE(SUMPRODUCT((A68&gt;=Calendari!$B$2:$B$6)*(A68&lt;=Calendari!$C$2:$C$6)*{1,2,3,4,5}),"P1","P2","P3","P4","P5"),""))</f>
        <v/>
      </c>
      <c r="I68" s="0" t="n">
        <f aca="false">IF(F68="",0,IFERROR(VALUE(LEFT(TRIM(F68),FIND(" ",TRIM(F68))-1)),0))</f>
        <v>0</v>
      </c>
    </row>
    <row r="69" customFormat="false" ht="15.75" hidden="false" customHeight="false" outlineLevel="0" collapsed="false">
      <c r="H69" s="0" t="str">
        <f aca="false">IF(A69="","",IFERROR(CHOOSE(SUMPRODUCT((A69&gt;=Calendari!$B$2:$B$6)*(A69&lt;=Calendari!$C$2:$C$6)*{1,2,3,4,5}),"P1","P2","P3","P4","P5"),""))</f>
        <v/>
      </c>
      <c r="I69" s="0" t="n">
        <f aca="false">IF(F69="",0,IFERROR(VALUE(LEFT(TRIM(F69),FIND(" ",TRIM(F69))-1)),0))</f>
        <v>0</v>
      </c>
    </row>
    <row r="70" customFormat="false" ht="15.75" hidden="false" customHeight="false" outlineLevel="0" collapsed="false">
      <c r="H70" s="0" t="str">
        <f aca="false">IF(A70="","",IFERROR(CHOOSE(SUMPRODUCT((A70&gt;=Calendari!$B$2:$B$6)*(A70&lt;=Calendari!$C$2:$C$6)*{1,2,3,4,5}),"P1","P2","P3","P4","P5"),""))</f>
        <v/>
      </c>
      <c r="I70" s="0" t="n">
        <f aca="false">IF(F70="",0,IFERROR(VALUE(LEFT(TRIM(F70),FIND(" ",TRIM(F70))-1)),0))</f>
        <v>0</v>
      </c>
    </row>
    <row r="71" customFormat="false" ht="15.75" hidden="false" customHeight="false" outlineLevel="0" collapsed="false">
      <c r="H71" s="0" t="str">
        <f aca="false">IF(A71="","",IFERROR(CHOOSE(SUMPRODUCT((A71&gt;=Calendari!$B$2:$B$6)*(A71&lt;=Calendari!$C$2:$C$6)*{1,2,3,4,5}),"P1","P2","P3","P4","P5"),""))</f>
        <v/>
      </c>
      <c r="I71" s="0" t="n">
        <f aca="false">IF(F71="",0,IFERROR(VALUE(LEFT(TRIM(F71),FIND(" ",TRIM(F71))-1)),0))</f>
        <v>0</v>
      </c>
    </row>
    <row r="72" customFormat="false" ht="15.75" hidden="false" customHeight="false" outlineLevel="0" collapsed="false">
      <c r="H72" s="0" t="str">
        <f aca="false">IF(A72="","",IFERROR(CHOOSE(SUMPRODUCT((A72&gt;=Calendari!$B$2:$B$6)*(A72&lt;=Calendari!$C$2:$C$6)*{1,2,3,4,5}),"P1","P2","P3","P4","P5"),""))</f>
        <v/>
      </c>
      <c r="I72" s="0" t="n">
        <f aca="false">IF(F72="",0,IFERROR(VALUE(LEFT(TRIM(F72),FIND(" ",TRIM(F72))-1)),0))</f>
        <v>0</v>
      </c>
    </row>
    <row r="73" customFormat="false" ht="15.75" hidden="false" customHeight="false" outlineLevel="0" collapsed="false">
      <c r="H73" s="0" t="str">
        <f aca="false">IF(A73="","",IFERROR(CHOOSE(SUMPRODUCT((A73&gt;=Calendari!$B$2:$B$6)*(A73&lt;=Calendari!$C$2:$C$6)*{1,2,3,4,5}),"P1","P2","P3","P4","P5"),""))</f>
        <v/>
      </c>
      <c r="I73" s="0" t="n">
        <f aca="false">IF(F73="",0,IFERROR(VALUE(LEFT(TRIM(F73),FIND(" ",TRIM(F73))-1)),0))</f>
        <v>0</v>
      </c>
    </row>
    <row r="74" customFormat="false" ht="15.75" hidden="false" customHeight="false" outlineLevel="0" collapsed="false">
      <c r="H74" s="0" t="str">
        <f aca="false">IF(A74="","",IFERROR(CHOOSE(SUMPRODUCT((A74&gt;=Calendari!$B$2:$B$6)*(A74&lt;=Calendari!$C$2:$C$6)*{1,2,3,4,5}),"P1","P2","P3","P4","P5"),""))</f>
        <v/>
      </c>
      <c r="I74" s="0" t="n">
        <f aca="false">IF(F74="",0,IFERROR(VALUE(LEFT(TRIM(F74),FIND(" ",TRIM(F74))-1)),0))</f>
        <v>0</v>
      </c>
    </row>
    <row r="75" customFormat="false" ht="15.75" hidden="false" customHeight="false" outlineLevel="0" collapsed="false">
      <c r="H75" s="0" t="str">
        <f aca="false">IF(A75="","",IFERROR(CHOOSE(SUMPRODUCT((A75&gt;=Calendari!$B$2:$B$6)*(A75&lt;=Calendari!$C$2:$C$6)*{1,2,3,4,5}),"P1","P2","P3","P4","P5"),""))</f>
        <v/>
      </c>
      <c r="I75" s="0" t="n">
        <f aca="false">IF(F75="",0,IFERROR(VALUE(LEFT(TRIM(F75),FIND(" ",TRIM(F75))-1)),0))</f>
        <v>0</v>
      </c>
    </row>
    <row r="76" customFormat="false" ht="15.75" hidden="false" customHeight="false" outlineLevel="0" collapsed="false">
      <c r="H76" s="0" t="str">
        <f aca="false">IF(A76="","",IFERROR(CHOOSE(SUMPRODUCT((A76&gt;=Calendari!$B$2:$B$6)*(A76&lt;=Calendari!$C$2:$C$6)*{1,2,3,4,5}),"P1","P2","P3","P4","P5"),""))</f>
        <v/>
      </c>
      <c r="I76" s="0" t="n">
        <f aca="false">IF(F76="",0,IFERROR(VALUE(LEFT(TRIM(F76),FIND(" ",TRIM(F76))-1)),0))</f>
        <v>0</v>
      </c>
    </row>
    <row r="77" customFormat="false" ht="15.75" hidden="false" customHeight="false" outlineLevel="0" collapsed="false">
      <c r="H77" s="0" t="str">
        <f aca="false">IF(A77="","",IFERROR(CHOOSE(SUMPRODUCT((A77&gt;=Calendari!$B$2:$B$6)*(A77&lt;=Calendari!$C$2:$C$6)*{1,2,3,4,5}),"P1","P2","P3","P4","P5"),""))</f>
        <v/>
      </c>
      <c r="I77" s="0" t="n">
        <f aca="false">IF(F77="",0,IFERROR(VALUE(LEFT(TRIM(F77),FIND(" ",TRIM(F77))-1)),0))</f>
        <v>0</v>
      </c>
    </row>
    <row r="78" customFormat="false" ht="15.75" hidden="false" customHeight="false" outlineLevel="0" collapsed="false">
      <c r="H78" s="0" t="str">
        <f aca="false">IF(A78="","",IFERROR(CHOOSE(SUMPRODUCT((A78&gt;=Calendari!$B$2:$B$6)*(A78&lt;=Calendari!$C$2:$C$6)*{1,2,3,4,5}),"P1","P2","P3","P4","P5"),""))</f>
        <v/>
      </c>
      <c r="I78" s="0" t="n">
        <f aca="false">IF(F78="",0,IFERROR(VALUE(LEFT(TRIM(F78),FIND(" ",TRIM(F78))-1)),0))</f>
        <v>0</v>
      </c>
    </row>
    <row r="79" customFormat="false" ht="15.75" hidden="false" customHeight="false" outlineLevel="0" collapsed="false">
      <c r="H79" s="0" t="str">
        <f aca="false">IF(A79="","",IFERROR(CHOOSE(SUMPRODUCT((A79&gt;=Calendari!$B$2:$B$6)*(A79&lt;=Calendari!$C$2:$C$6)*{1,2,3,4,5}),"P1","P2","P3","P4","P5"),""))</f>
        <v/>
      </c>
      <c r="I79" s="0" t="n">
        <f aca="false">IF(F79="",0,IFERROR(VALUE(LEFT(TRIM(F79),FIND(" ",TRIM(F79))-1)),0))</f>
        <v>0</v>
      </c>
    </row>
    <row r="80" customFormat="false" ht="15.75" hidden="false" customHeight="false" outlineLevel="0" collapsed="false">
      <c r="H80" s="0" t="str">
        <f aca="false">IF(A80="","",IFERROR(CHOOSE(SUMPRODUCT((A80&gt;=Calendari!$B$2:$B$6)*(A80&lt;=Calendari!$C$2:$C$6)*{1,2,3,4,5}),"P1","P2","P3","P4","P5"),""))</f>
        <v/>
      </c>
      <c r="I80" s="0" t="n">
        <f aca="false">IF(F80="",0,IFERROR(VALUE(LEFT(TRIM(F80),FIND(" ",TRIM(F80))-1)),0))</f>
        <v>0</v>
      </c>
    </row>
    <row r="81" customFormat="false" ht="15.75" hidden="false" customHeight="false" outlineLevel="0" collapsed="false">
      <c r="H81" s="0" t="str">
        <f aca="false">IF(A81="","",IFERROR(CHOOSE(SUMPRODUCT((A81&gt;=Calendari!$B$2:$B$6)*(A81&lt;=Calendari!$C$2:$C$6)*{1,2,3,4,5}),"P1","P2","P3","P4","P5"),""))</f>
        <v/>
      </c>
      <c r="I81" s="0" t="n">
        <f aca="false">IF(F81="",0,IFERROR(VALUE(LEFT(TRIM(F81),FIND(" ",TRIM(F81))-1)),0))</f>
        <v>0</v>
      </c>
    </row>
    <row r="82" customFormat="false" ht="15.75" hidden="false" customHeight="false" outlineLevel="0" collapsed="false">
      <c r="H82" s="0" t="str">
        <f aca="false">IF(A82="","",IFERROR(CHOOSE(SUMPRODUCT((A82&gt;=Calendari!$B$2:$B$6)*(A82&lt;=Calendari!$C$2:$C$6)*{1,2,3,4,5}),"P1","P2","P3","P4","P5"),""))</f>
        <v/>
      </c>
      <c r="I82" s="0" t="n">
        <f aca="false">IF(F82="",0,IFERROR(VALUE(LEFT(TRIM(F82),FIND(" ",TRIM(F82))-1)),0))</f>
        <v>0</v>
      </c>
    </row>
    <row r="83" customFormat="false" ht="15.75" hidden="false" customHeight="false" outlineLevel="0" collapsed="false">
      <c r="H83" s="0" t="str">
        <f aca="false">IF(A83="","",IFERROR(CHOOSE(SUMPRODUCT((A83&gt;=Calendari!$B$2:$B$6)*(A83&lt;=Calendari!$C$2:$C$6)*{1,2,3,4,5}),"P1","P2","P3","P4","P5"),""))</f>
        <v/>
      </c>
      <c r="I83" s="0" t="n">
        <f aca="false">IF(F83="",0,IFERROR(VALUE(LEFT(TRIM(F83),FIND(" ",TRIM(F83))-1)),0))</f>
        <v>0</v>
      </c>
    </row>
    <row r="84" customFormat="false" ht="15.75" hidden="false" customHeight="false" outlineLevel="0" collapsed="false">
      <c r="H84" s="0" t="str">
        <f aca="false">IF(A84="","",IFERROR(CHOOSE(SUMPRODUCT((A84&gt;=Calendari!$B$2:$B$6)*(A84&lt;=Calendari!$C$2:$C$6)*{1,2,3,4,5}),"P1","P2","P3","P4","P5"),""))</f>
        <v/>
      </c>
      <c r="I84" s="0" t="n">
        <f aca="false">IF(F84="",0,IFERROR(VALUE(LEFT(TRIM(F84),FIND(" ",TRIM(F84))-1)),0))</f>
        <v>0</v>
      </c>
    </row>
    <row r="85" customFormat="false" ht="15.75" hidden="false" customHeight="false" outlineLevel="0" collapsed="false">
      <c r="H85" s="0" t="str">
        <f aca="false">IF(A85="","",IFERROR(CHOOSE(SUMPRODUCT((A85&gt;=Calendari!$B$2:$B$6)*(A85&lt;=Calendari!$C$2:$C$6)*{1,2,3,4,5}),"P1","P2","P3","P4","P5"),""))</f>
        <v/>
      </c>
      <c r="I85" s="0" t="n">
        <f aca="false">IF(F85="",0,IFERROR(VALUE(LEFT(TRIM(F85),FIND(" ",TRIM(F85))-1)),0))</f>
        <v>0</v>
      </c>
    </row>
    <row r="86" customFormat="false" ht="15.75" hidden="false" customHeight="false" outlineLevel="0" collapsed="false">
      <c r="H86" s="0" t="str">
        <f aca="false">IF(A86="","",IFERROR(CHOOSE(SUMPRODUCT((A86&gt;=Calendari!$B$2:$B$6)*(A86&lt;=Calendari!$C$2:$C$6)*{1,2,3,4,5}),"P1","P2","P3","P4","P5"),""))</f>
        <v/>
      </c>
      <c r="I86" s="0" t="n">
        <f aca="false">IF(F86="",0,IFERROR(VALUE(LEFT(TRIM(F86),FIND(" ",TRIM(F86))-1)),0))</f>
        <v>0</v>
      </c>
    </row>
    <row r="87" customFormat="false" ht="15.75" hidden="false" customHeight="false" outlineLevel="0" collapsed="false">
      <c r="H87" s="0" t="str">
        <f aca="false">IF(A87="","",IFERROR(CHOOSE(SUMPRODUCT((A87&gt;=Calendari!$B$2:$B$6)*(A87&lt;=Calendari!$C$2:$C$6)*{1,2,3,4,5}),"P1","P2","P3","P4","P5"),""))</f>
        <v/>
      </c>
      <c r="I87" s="0" t="n">
        <f aca="false">IF(F87="",0,IFERROR(VALUE(LEFT(TRIM(F87),FIND(" ",TRIM(F87))-1)),0))</f>
        <v>0</v>
      </c>
    </row>
    <row r="88" customFormat="false" ht="15.75" hidden="false" customHeight="false" outlineLevel="0" collapsed="false">
      <c r="H88" s="0" t="str">
        <f aca="false">IF(A88="","",IFERROR(CHOOSE(SUMPRODUCT((A88&gt;=Calendari!$B$2:$B$6)*(A88&lt;=Calendari!$C$2:$C$6)*{1,2,3,4,5}),"P1","P2","P3","P4","P5"),""))</f>
        <v/>
      </c>
      <c r="I88" s="0" t="n">
        <f aca="false">IF(F88="",0,IFERROR(VALUE(LEFT(TRIM(F88),FIND(" ",TRIM(F88))-1)),0))</f>
        <v>0</v>
      </c>
    </row>
    <row r="89" customFormat="false" ht="15.75" hidden="false" customHeight="false" outlineLevel="0" collapsed="false">
      <c r="H89" s="0" t="str">
        <f aca="false">IF(A89="","",IFERROR(CHOOSE(SUMPRODUCT((A89&gt;=Calendari!$B$2:$B$6)*(A89&lt;=Calendari!$C$2:$C$6)*{1,2,3,4,5}),"P1","P2","P3","P4","P5"),""))</f>
        <v/>
      </c>
      <c r="I89" s="0" t="n">
        <f aca="false">IF(F89="",0,IFERROR(VALUE(LEFT(TRIM(F89),FIND(" ",TRIM(F89))-1)),0))</f>
        <v>0</v>
      </c>
    </row>
    <row r="90" customFormat="false" ht="15.75" hidden="false" customHeight="false" outlineLevel="0" collapsed="false">
      <c r="H90" s="0" t="str">
        <f aca="false">IF(A90="","",IFERROR(CHOOSE(SUMPRODUCT((A90&gt;=Calendari!$B$2:$B$6)*(A90&lt;=Calendari!$C$2:$C$6)*{1,2,3,4,5}),"P1","P2","P3","P4","P5"),""))</f>
        <v/>
      </c>
      <c r="I90" s="0" t="n">
        <f aca="false">IF(F90="",0,IFERROR(VALUE(LEFT(TRIM(F90),FIND(" ",TRIM(F90))-1)),0))</f>
        <v>0</v>
      </c>
    </row>
    <row r="91" customFormat="false" ht="15.75" hidden="false" customHeight="false" outlineLevel="0" collapsed="false">
      <c r="H91" s="0" t="str">
        <f aca="false">IF(A91="","",IFERROR(CHOOSE(SUMPRODUCT((A91&gt;=Calendari!$B$2:$B$6)*(A91&lt;=Calendari!$C$2:$C$6)*{1,2,3,4,5}),"P1","P2","P3","P4","P5"),""))</f>
        <v/>
      </c>
      <c r="I91" s="0" t="n">
        <f aca="false">IF(F91="",0,IFERROR(VALUE(LEFT(TRIM(F91),FIND(" ",TRIM(F91))-1)),0))</f>
        <v>0</v>
      </c>
    </row>
    <row r="92" customFormat="false" ht="15.75" hidden="false" customHeight="false" outlineLevel="0" collapsed="false">
      <c r="H92" s="0" t="str">
        <f aca="false">IF(A92="","",IFERROR(CHOOSE(SUMPRODUCT((A92&gt;=Calendari!$B$2:$B$6)*(A92&lt;=Calendari!$C$2:$C$6)*{1,2,3,4,5}),"P1","P2","P3","P4","P5"),""))</f>
        <v/>
      </c>
      <c r="I92" s="0" t="n">
        <f aca="false">IF(F92="",0,IFERROR(VALUE(LEFT(TRIM(F92),FIND(" ",TRIM(F92))-1)),0))</f>
        <v>0</v>
      </c>
    </row>
    <row r="93" customFormat="false" ht="15.75" hidden="false" customHeight="false" outlineLevel="0" collapsed="false">
      <c r="H93" s="0" t="str">
        <f aca="false">IF(A93="","",IFERROR(CHOOSE(SUMPRODUCT((A93&gt;=Calendari!$B$2:$B$6)*(A93&lt;=Calendari!$C$2:$C$6)*{1,2,3,4,5}),"P1","P2","P3","P4","P5"),""))</f>
        <v/>
      </c>
      <c r="I93" s="0" t="n">
        <f aca="false">IF(F93="",0,IFERROR(VALUE(LEFT(TRIM(F93),FIND(" ",TRIM(F93))-1)),0))</f>
        <v>0</v>
      </c>
    </row>
    <row r="94" customFormat="false" ht="15.75" hidden="false" customHeight="false" outlineLevel="0" collapsed="false">
      <c r="H94" s="0" t="str">
        <f aca="false">IF(A94="","",IFERROR(CHOOSE(SUMPRODUCT((A94&gt;=Calendari!$B$2:$B$6)*(A94&lt;=Calendari!$C$2:$C$6)*{1,2,3,4,5}),"P1","P2","P3","P4","P5"),""))</f>
        <v/>
      </c>
      <c r="I94" s="0" t="n">
        <f aca="false">IF(F94="",0,IFERROR(VALUE(LEFT(TRIM(F94),FIND(" ",TRIM(F94))-1)),0))</f>
        <v>0</v>
      </c>
    </row>
    <row r="95" customFormat="false" ht="15.75" hidden="false" customHeight="false" outlineLevel="0" collapsed="false">
      <c r="H95" s="0" t="str">
        <f aca="false">IF(A95="","",IFERROR(CHOOSE(SUMPRODUCT((A95&gt;=Calendari!$B$2:$B$6)*(A95&lt;=Calendari!$C$2:$C$6)*{1,2,3,4,5}),"P1","P2","P3","P4","P5"),""))</f>
        <v/>
      </c>
      <c r="I95" s="0" t="n">
        <f aca="false">IF(F95="",0,IFERROR(VALUE(LEFT(TRIM(F95),FIND(" ",TRIM(F95))-1)),0))</f>
        <v>0</v>
      </c>
    </row>
    <row r="96" customFormat="false" ht="15.75" hidden="false" customHeight="false" outlineLevel="0" collapsed="false">
      <c r="H96" s="0" t="str">
        <f aca="false">IF(A96="","",IFERROR(CHOOSE(SUMPRODUCT((A96&gt;=Calendari!$B$2:$B$6)*(A96&lt;=Calendari!$C$2:$C$6)*{1,2,3,4,5}),"P1","P2","P3","P4","P5"),""))</f>
        <v/>
      </c>
      <c r="I96" s="0" t="n">
        <f aca="false">IF(F96="",0,IFERROR(VALUE(LEFT(TRIM(F96),FIND(" ",TRIM(F96))-1)),0))</f>
        <v>0</v>
      </c>
    </row>
    <row r="97" customFormat="false" ht="15.75" hidden="false" customHeight="false" outlineLevel="0" collapsed="false">
      <c r="H97" s="0" t="str">
        <f aca="false">IF(A97="","",IFERROR(CHOOSE(SUMPRODUCT((A97&gt;=Calendari!$B$2:$B$6)*(A97&lt;=Calendari!$C$2:$C$6)*{1,2,3,4,5}),"P1","P2","P3","P4","P5"),""))</f>
        <v/>
      </c>
      <c r="I97" s="0" t="n">
        <f aca="false">IF(F97="",0,IFERROR(VALUE(LEFT(TRIM(F97),FIND(" ",TRIM(F97))-1)),0))</f>
        <v>0</v>
      </c>
    </row>
    <row r="98" customFormat="false" ht="15.75" hidden="false" customHeight="false" outlineLevel="0" collapsed="false">
      <c r="H98" s="0" t="str">
        <f aca="false">IF(A98="","",IFERROR(CHOOSE(SUMPRODUCT((A98&gt;=Calendari!$B$2:$B$6)*(A98&lt;=Calendari!$C$2:$C$6)*{1,2,3,4,5}),"P1","P2","P3","P4","P5"),""))</f>
        <v/>
      </c>
      <c r="I98" s="0" t="n">
        <f aca="false">IF(F98="",0,IFERROR(VALUE(LEFT(TRIM(F98),FIND(" ",TRIM(F98))-1)),0))</f>
        <v>0</v>
      </c>
    </row>
    <row r="99" customFormat="false" ht="15.75" hidden="false" customHeight="false" outlineLevel="0" collapsed="false">
      <c r="H99" s="0" t="str">
        <f aca="false">IF(A99="","",IFERROR(CHOOSE(SUMPRODUCT((A99&gt;=Calendari!$B$2:$B$6)*(A99&lt;=Calendari!$C$2:$C$6)*{1,2,3,4,5}),"P1","P2","P3","P4","P5"),""))</f>
        <v/>
      </c>
      <c r="I99" s="0" t="n">
        <f aca="false">IF(F99="",0,IFERROR(VALUE(LEFT(TRIM(F99),FIND(" ",TRIM(F99))-1)),0))</f>
        <v>0</v>
      </c>
    </row>
    <row r="100" customFormat="false" ht="15.75" hidden="false" customHeight="false" outlineLevel="0" collapsed="false">
      <c r="H100" s="0" t="str">
        <f aca="false">IF(A100="","",IFERROR(CHOOSE(SUMPRODUCT((A100&gt;=Calendari!$B$2:$B$6)*(A100&lt;=Calendari!$C$2:$C$6)*{1,2,3,4,5}),"P1","P2","P3","P4","P5"),""))</f>
        <v/>
      </c>
      <c r="I100" s="0" t="n">
        <f aca="false">IF(F100="",0,IFERROR(VALUE(LEFT(TRIM(F100),FIND(" ",TRIM(F100))-1)),0))</f>
        <v>0</v>
      </c>
    </row>
    <row r="101" customFormat="false" ht="15.75" hidden="false" customHeight="false" outlineLevel="0" collapsed="false">
      <c r="H101" s="0" t="str">
        <f aca="false">IF(A101="","",IFERROR(CHOOSE(SUMPRODUCT((A101&gt;=Calendari!$B$2:$B$6)*(A101&lt;=Calendari!$C$2:$C$6)*{1,2,3,4,5}),"P1","P2","P3","P4","P5"),""))</f>
        <v/>
      </c>
      <c r="I101" s="0" t="n">
        <f aca="false">IF(F101="",0,IFERROR(VALUE(LEFT(TRIM(F101),FIND(" ",TRIM(F101))-1)),0))</f>
        <v>0</v>
      </c>
    </row>
    <row r="102" customFormat="false" ht="15.75" hidden="false" customHeight="false" outlineLevel="0" collapsed="false">
      <c r="H102" s="0" t="str">
        <f aca="false">IF(A102="","",IFERROR(CHOOSE(SUMPRODUCT((A102&gt;=Calendari!$B$2:$B$6)*(A102&lt;=Calendari!$C$2:$C$6)*{1,2,3,4,5}),"P1","P2","P3","P4","P5"),""))</f>
        <v/>
      </c>
      <c r="I102" s="0" t="n">
        <f aca="false">IF(F102="",0,IFERROR(VALUE(LEFT(TRIM(F102),FIND(" ",TRIM(F102))-1)),0))</f>
        <v>0</v>
      </c>
    </row>
    <row r="103" customFormat="false" ht="15.75" hidden="false" customHeight="false" outlineLevel="0" collapsed="false">
      <c r="H103" s="0" t="str">
        <f aca="false">IF(A103="","",IFERROR(CHOOSE(SUMPRODUCT((A103&gt;=Calendari!$B$2:$B$6)*(A103&lt;=Calendari!$C$2:$C$6)*{1,2,3,4,5}),"P1","P2","P3","P4","P5"),""))</f>
        <v/>
      </c>
      <c r="I103" s="0" t="n">
        <f aca="false">IF(F103="",0,IFERROR(VALUE(LEFT(TRIM(F103),FIND(" ",TRIM(F103))-1)),0))</f>
        <v>0</v>
      </c>
    </row>
    <row r="104" customFormat="false" ht="15.75" hidden="false" customHeight="false" outlineLevel="0" collapsed="false">
      <c r="H104" s="0" t="str">
        <f aca="false">IF(A104="","",IFERROR(CHOOSE(SUMPRODUCT((A104&gt;=Calendari!$B$2:$B$6)*(A104&lt;=Calendari!$C$2:$C$6)*{1,2,3,4,5}),"P1","P2","P3","P4","P5"),""))</f>
        <v/>
      </c>
      <c r="I104" s="0" t="n">
        <f aca="false">IF(F104="",0,IFERROR(VALUE(LEFT(TRIM(F104),FIND(" ",TRIM(F104))-1)),0))</f>
        <v>0</v>
      </c>
    </row>
    <row r="105" customFormat="false" ht="15.75" hidden="false" customHeight="false" outlineLevel="0" collapsed="false">
      <c r="H105" s="0" t="str">
        <f aca="false">IF(A105="","",IFERROR(CHOOSE(SUMPRODUCT((A105&gt;=Calendari!$B$2:$B$6)*(A105&lt;=Calendari!$C$2:$C$6)*{1,2,3,4,5}),"P1","P2","P3","P4","P5"),""))</f>
        <v/>
      </c>
      <c r="I105" s="0" t="n">
        <f aca="false">IF(F105="",0,IFERROR(VALUE(LEFT(TRIM(F105),FIND(" ",TRIM(F105))-1)),0))</f>
        <v>0</v>
      </c>
    </row>
    <row r="106" customFormat="false" ht="15.75" hidden="false" customHeight="false" outlineLevel="0" collapsed="false">
      <c r="H106" s="0" t="str">
        <f aca="false">IF(A106="","",IFERROR(CHOOSE(SUMPRODUCT((A106&gt;=Calendari!$B$2:$B$6)*(A106&lt;=Calendari!$C$2:$C$6)*{1,2,3,4,5}),"P1","P2","P3","P4","P5"),""))</f>
        <v/>
      </c>
      <c r="I106" s="0" t="n">
        <f aca="false">IF(F106="",0,IFERROR(VALUE(LEFT(TRIM(F106),FIND(" ",TRIM(F106))-1)),0))</f>
        <v>0</v>
      </c>
    </row>
    <row r="107" customFormat="false" ht="15.75" hidden="false" customHeight="false" outlineLevel="0" collapsed="false">
      <c r="H107" s="0" t="str">
        <f aca="false">IF(A107="","",IFERROR(CHOOSE(SUMPRODUCT((A107&gt;=Calendari!$B$2:$B$6)*(A107&lt;=Calendari!$C$2:$C$6)*{1,2,3,4,5}),"P1","P2","P3","P4","P5"),""))</f>
        <v/>
      </c>
      <c r="I107" s="0" t="n">
        <f aca="false">IF(F107="",0,IFERROR(VALUE(LEFT(TRIM(F107),FIND(" ",TRIM(F107))-1)),0))</f>
        <v>0</v>
      </c>
    </row>
    <row r="108" customFormat="false" ht="15.75" hidden="false" customHeight="false" outlineLevel="0" collapsed="false">
      <c r="H108" s="0" t="str">
        <f aca="false">IF(A108="","",IFERROR(CHOOSE(SUMPRODUCT((A108&gt;=Calendari!$B$2:$B$6)*(A108&lt;=Calendari!$C$2:$C$6)*{1,2,3,4,5}),"P1","P2","P3","P4","P5"),""))</f>
        <v/>
      </c>
      <c r="I108" s="0" t="n">
        <f aca="false">IF(F108="",0,IFERROR(VALUE(LEFT(TRIM(F108),FIND(" ",TRIM(F108))-1)),0))</f>
        <v>0</v>
      </c>
    </row>
    <row r="109" customFormat="false" ht="15.75" hidden="false" customHeight="false" outlineLevel="0" collapsed="false">
      <c r="H109" s="0" t="str">
        <f aca="false">IF(A109="","",IFERROR(CHOOSE(SUMPRODUCT((A109&gt;=Calendari!$B$2:$B$6)*(A109&lt;=Calendari!$C$2:$C$6)*{1,2,3,4,5}),"P1","P2","P3","P4","P5"),""))</f>
        <v/>
      </c>
      <c r="I109" s="0" t="n">
        <f aca="false">IF(F109="",0,IFERROR(VALUE(LEFT(TRIM(F109),FIND(" ",TRIM(F109))-1)),0))</f>
        <v>0</v>
      </c>
    </row>
    <row r="110" customFormat="false" ht="15.75" hidden="false" customHeight="false" outlineLevel="0" collapsed="false">
      <c r="H110" s="0" t="str">
        <f aca="false">IF(A110="","",IFERROR(CHOOSE(SUMPRODUCT((A110&gt;=Calendari!$B$2:$B$6)*(A110&lt;=Calendari!$C$2:$C$6)*{1,2,3,4,5}),"P1","P2","P3","P4","P5"),""))</f>
        <v/>
      </c>
      <c r="I110" s="0" t="n">
        <f aca="false">IF(F110="",0,IFERROR(VALUE(LEFT(TRIM(F110),FIND(" ",TRIM(F110))-1)),0))</f>
        <v>0</v>
      </c>
    </row>
    <row r="111" customFormat="false" ht="15.75" hidden="false" customHeight="false" outlineLevel="0" collapsed="false">
      <c r="H111" s="0" t="str">
        <f aca="false">IF(A111="","",IFERROR(CHOOSE(SUMPRODUCT((A111&gt;=Calendari!$B$2:$B$6)*(A111&lt;=Calendari!$C$2:$C$6)*{1,2,3,4,5}),"P1","P2","P3","P4","P5"),""))</f>
        <v/>
      </c>
      <c r="I111" s="0" t="n">
        <f aca="false">IF(F111="",0,IFERROR(VALUE(LEFT(TRIM(F111),FIND(" ",TRIM(F111))-1)),0))</f>
        <v>0</v>
      </c>
    </row>
    <row r="112" customFormat="false" ht="15.75" hidden="false" customHeight="false" outlineLevel="0" collapsed="false">
      <c r="H112" s="0" t="str">
        <f aca="false">IF(A112="","",IFERROR(CHOOSE(SUMPRODUCT((A112&gt;=Calendari!$B$2:$B$6)*(A112&lt;=Calendari!$C$2:$C$6)*{1,2,3,4,5}),"P1","P2","P3","P4","P5"),""))</f>
        <v/>
      </c>
      <c r="I112" s="0" t="n">
        <f aca="false">IF(F112="",0,IFERROR(VALUE(LEFT(TRIM(F112),FIND(" ",TRIM(F112))-1)),0))</f>
        <v>0</v>
      </c>
    </row>
    <row r="113" customFormat="false" ht="15.75" hidden="false" customHeight="false" outlineLevel="0" collapsed="false">
      <c r="H113" s="0" t="str">
        <f aca="false">IF(A113="","",IFERROR(CHOOSE(SUMPRODUCT((A113&gt;=Calendari!$B$2:$B$6)*(A113&lt;=Calendari!$C$2:$C$6)*{1,2,3,4,5}),"P1","P2","P3","P4","P5"),""))</f>
        <v/>
      </c>
      <c r="I113" s="0" t="n">
        <f aca="false">IF(F113="",0,IFERROR(VALUE(LEFT(TRIM(F113),FIND(" ",TRIM(F113))-1)),0))</f>
        <v>0</v>
      </c>
    </row>
    <row r="114" customFormat="false" ht="15.75" hidden="false" customHeight="false" outlineLevel="0" collapsed="false">
      <c r="H114" s="0" t="str">
        <f aca="false">IF(A114="","",IFERROR(CHOOSE(SUMPRODUCT((A114&gt;=Calendari!$B$2:$B$6)*(A114&lt;=Calendari!$C$2:$C$6)*{1,2,3,4,5}),"P1","P2","P3","P4","P5"),""))</f>
        <v/>
      </c>
      <c r="I114" s="0" t="n">
        <f aca="false">IF(F114="",0,IFERROR(VALUE(LEFT(TRIM(F114),FIND(" ",TRIM(F114))-1)),0))</f>
        <v>0</v>
      </c>
    </row>
    <row r="115" customFormat="false" ht="15.75" hidden="false" customHeight="false" outlineLevel="0" collapsed="false">
      <c r="H115" s="0" t="str">
        <f aca="false">IF(A115="","",IFERROR(CHOOSE(SUMPRODUCT((A115&gt;=Calendari!$B$2:$B$6)*(A115&lt;=Calendari!$C$2:$C$6)*{1,2,3,4,5}),"P1","P2","P3","P4","P5"),""))</f>
        <v/>
      </c>
      <c r="I115" s="0" t="n">
        <f aca="false">IF(F115="",0,IFERROR(VALUE(LEFT(TRIM(F115),FIND(" ",TRIM(F115))-1)),0))</f>
        <v>0</v>
      </c>
    </row>
    <row r="116" customFormat="false" ht="15.75" hidden="false" customHeight="false" outlineLevel="0" collapsed="false">
      <c r="H116" s="0" t="str">
        <f aca="false">IF(A116="","",IFERROR(CHOOSE(SUMPRODUCT((A116&gt;=Calendari!$B$2:$B$6)*(A116&lt;=Calendari!$C$2:$C$6)*{1,2,3,4,5}),"P1","P2","P3","P4","P5"),""))</f>
        <v/>
      </c>
      <c r="I116" s="0" t="n">
        <f aca="false">IF(F116="",0,IFERROR(VALUE(LEFT(TRIM(F116),FIND(" ",TRIM(F116))-1)),0))</f>
        <v>0</v>
      </c>
    </row>
    <row r="117" customFormat="false" ht="15.75" hidden="false" customHeight="false" outlineLevel="0" collapsed="false">
      <c r="H117" s="0" t="str">
        <f aca="false">IF(A117="","",IFERROR(CHOOSE(SUMPRODUCT((A117&gt;=Calendari!$B$2:$B$6)*(A117&lt;=Calendari!$C$2:$C$6)*{1,2,3,4,5}),"P1","P2","P3","P4","P5"),""))</f>
        <v/>
      </c>
      <c r="I117" s="0" t="n">
        <f aca="false">IF(F117="",0,IFERROR(VALUE(LEFT(TRIM(F117),FIND(" ",TRIM(F117))-1)),0))</f>
        <v>0</v>
      </c>
    </row>
    <row r="118" customFormat="false" ht="15.75" hidden="false" customHeight="false" outlineLevel="0" collapsed="false">
      <c r="H118" s="0" t="str">
        <f aca="false">IF(A118="","",IFERROR(CHOOSE(SUMPRODUCT((A118&gt;=Calendari!$B$2:$B$6)*(A118&lt;=Calendari!$C$2:$C$6)*{1,2,3,4,5}),"P1","P2","P3","P4","P5"),""))</f>
        <v/>
      </c>
      <c r="I118" s="0" t="n">
        <f aca="false">IF(F118="",0,IFERROR(VALUE(LEFT(TRIM(F118),FIND(" ",TRIM(F118))-1)),0))</f>
        <v>0</v>
      </c>
    </row>
    <row r="119" customFormat="false" ht="15.75" hidden="false" customHeight="false" outlineLevel="0" collapsed="false">
      <c r="H119" s="0" t="str">
        <f aca="false">IF(A119="","",IFERROR(CHOOSE(SUMPRODUCT((A119&gt;=Calendari!$B$2:$B$6)*(A119&lt;=Calendari!$C$2:$C$6)*{1,2,3,4,5}),"P1","P2","P3","P4","P5"),""))</f>
        <v/>
      </c>
      <c r="I119" s="0" t="n">
        <f aca="false">IF(F119="",0,IFERROR(VALUE(LEFT(TRIM(F119),FIND(" ",TRIM(F119))-1)),0))</f>
        <v>0</v>
      </c>
    </row>
    <row r="120" customFormat="false" ht="15.75" hidden="false" customHeight="false" outlineLevel="0" collapsed="false">
      <c r="H120" s="0" t="str">
        <f aca="false">IF(A120="","",IFERROR(CHOOSE(SUMPRODUCT((A120&gt;=Calendari!$B$2:$B$6)*(A120&lt;=Calendari!$C$2:$C$6)*{1,2,3,4,5}),"P1","P2","P3","P4","P5"),""))</f>
        <v/>
      </c>
      <c r="I120" s="0" t="n">
        <f aca="false">IF(F120="",0,IFERROR(VALUE(LEFT(TRIM(F120),FIND(" ",TRIM(F120))-1)),0))</f>
        <v>0</v>
      </c>
    </row>
    <row r="121" customFormat="false" ht="15.75" hidden="false" customHeight="false" outlineLevel="0" collapsed="false">
      <c r="H121" s="0" t="str">
        <f aca="false">IF(A121="","",IFERROR(CHOOSE(SUMPRODUCT((A121&gt;=Calendari!$B$2:$B$6)*(A121&lt;=Calendari!$C$2:$C$6)*{1,2,3,4,5}),"P1","P2","P3","P4","P5"),""))</f>
        <v/>
      </c>
      <c r="I121" s="0" t="n">
        <f aca="false">IF(F121="",0,IFERROR(VALUE(LEFT(TRIM(F121),FIND(" ",TRIM(F121))-1)),0))</f>
        <v>0</v>
      </c>
    </row>
    <row r="122" customFormat="false" ht="15.75" hidden="false" customHeight="false" outlineLevel="0" collapsed="false">
      <c r="H122" s="0" t="str">
        <f aca="false">IF(A122="","",IFERROR(CHOOSE(SUMPRODUCT((A122&gt;=Calendari!$B$2:$B$6)*(A122&lt;=Calendari!$C$2:$C$6)*{1,2,3,4,5}),"P1","P2","P3","P4","P5"),""))</f>
        <v/>
      </c>
      <c r="I122" s="0" t="n">
        <f aca="false">IF(F122="",0,IFERROR(VALUE(LEFT(TRIM(F122),FIND(" ",TRIM(F122))-1)),0))</f>
        <v>0</v>
      </c>
    </row>
    <row r="123" customFormat="false" ht="15.75" hidden="false" customHeight="false" outlineLevel="0" collapsed="false">
      <c r="H123" s="0" t="str">
        <f aca="false">IF(A123="","",IFERROR(CHOOSE(SUMPRODUCT((A123&gt;=Calendari!$B$2:$B$6)*(A123&lt;=Calendari!$C$2:$C$6)*{1,2,3,4,5}),"P1","P2","P3","P4","P5"),""))</f>
        <v/>
      </c>
      <c r="I123" s="0" t="n">
        <f aca="false">IF(F123="",0,IFERROR(VALUE(LEFT(TRIM(F123),FIND(" ",TRIM(F123))-1)),0))</f>
        <v>0</v>
      </c>
    </row>
    <row r="124" customFormat="false" ht="15.75" hidden="false" customHeight="false" outlineLevel="0" collapsed="false">
      <c r="H124" s="0" t="str">
        <f aca="false">IF(A124="","",IFERROR(CHOOSE(SUMPRODUCT((A124&gt;=Calendari!$B$2:$B$6)*(A124&lt;=Calendari!$C$2:$C$6)*{1,2,3,4,5}),"P1","P2","P3","P4","P5"),""))</f>
        <v/>
      </c>
      <c r="I124" s="0" t="n">
        <f aca="false">IF(F124="",0,IFERROR(VALUE(LEFT(TRIM(F124),FIND(" ",TRIM(F124))-1)),0))</f>
        <v>0</v>
      </c>
    </row>
    <row r="125" customFormat="false" ht="15.75" hidden="false" customHeight="false" outlineLevel="0" collapsed="false">
      <c r="H125" s="0" t="str">
        <f aca="false">IF(A125="","",IFERROR(CHOOSE(SUMPRODUCT((A125&gt;=Calendari!$B$2:$B$6)*(A125&lt;=Calendari!$C$2:$C$6)*{1,2,3,4,5}),"P1","P2","P3","P4","P5"),""))</f>
        <v/>
      </c>
      <c r="I125" s="0" t="n">
        <f aca="false">IF(F125="",0,IFERROR(VALUE(LEFT(TRIM(F125),FIND(" ",TRIM(F125))-1)),0))</f>
        <v>0</v>
      </c>
    </row>
    <row r="126" customFormat="false" ht="15.75" hidden="false" customHeight="false" outlineLevel="0" collapsed="false">
      <c r="H126" s="0" t="str">
        <f aca="false">IF(A126="","",IFERROR(CHOOSE(SUMPRODUCT((A126&gt;=Calendari!$B$2:$B$6)*(A126&lt;=Calendari!$C$2:$C$6)*{1,2,3,4,5}),"P1","P2","P3","P4","P5"),""))</f>
        <v/>
      </c>
      <c r="I126" s="0" t="n">
        <f aca="false">IF(F126="",0,IFERROR(VALUE(LEFT(TRIM(F126),FIND(" ",TRIM(F126))-1)),0))</f>
        <v>0</v>
      </c>
    </row>
    <row r="127" customFormat="false" ht="15.75" hidden="false" customHeight="false" outlineLevel="0" collapsed="false">
      <c r="H127" s="0" t="str">
        <f aca="false">IF(A127="","",IFERROR(CHOOSE(SUMPRODUCT((A127&gt;=Calendari!$B$2:$B$6)*(A127&lt;=Calendari!$C$2:$C$6)*{1,2,3,4,5}),"P1","P2","P3","P4","P5"),""))</f>
        <v/>
      </c>
      <c r="I127" s="0" t="n">
        <f aca="false">IF(F127="",0,IFERROR(VALUE(LEFT(TRIM(F127),FIND(" ",TRIM(F127))-1)),0))</f>
        <v>0</v>
      </c>
    </row>
    <row r="128" customFormat="false" ht="15.75" hidden="false" customHeight="false" outlineLevel="0" collapsed="false">
      <c r="H128" s="0" t="str">
        <f aca="false">IF(A128="","",IFERROR(CHOOSE(SUMPRODUCT((A128&gt;=Calendari!$B$2:$B$6)*(A128&lt;=Calendari!$C$2:$C$6)*{1,2,3,4,5}),"P1","P2","P3","P4","P5"),""))</f>
        <v/>
      </c>
      <c r="I128" s="0" t="n">
        <f aca="false">IF(F128="",0,IFERROR(VALUE(LEFT(TRIM(F128),FIND(" ",TRIM(F128))-1)),0))</f>
        <v>0</v>
      </c>
    </row>
    <row r="129" customFormat="false" ht="15.75" hidden="false" customHeight="false" outlineLevel="0" collapsed="false">
      <c r="H129" s="0" t="str">
        <f aca="false">IF(A129="","",IFERROR(CHOOSE(SUMPRODUCT((A129&gt;=Calendari!$B$2:$B$6)*(A129&lt;=Calendari!$C$2:$C$6)*{1,2,3,4,5}),"P1","P2","P3","P4","P5"),""))</f>
        <v/>
      </c>
      <c r="I129" s="0" t="n">
        <f aca="false">IF(F129="",0,IFERROR(VALUE(LEFT(TRIM(F129),FIND(" ",TRIM(F129))-1)),0))</f>
        <v>0</v>
      </c>
    </row>
    <row r="130" customFormat="false" ht="15.75" hidden="false" customHeight="false" outlineLevel="0" collapsed="false">
      <c r="H130" s="0" t="str">
        <f aca="false">IF(A130="","",IFERROR(CHOOSE(SUMPRODUCT((A130&gt;=Calendari!$B$2:$B$6)*(A130&lt;=Calendari!$C$2:$C$6)*{1,2,3,4,5}),"P1","P2","P3","P4","P5"),""))</f>
        <v/>
      </c>
      <c r="I130" s="0" t="n">
        <f aca="false">IF(F130="",0,IFERROR(VALUE(LEFT(TRIM(F130),FIND(" ",TRIM(F130))-1)),0))</f>
        <v>0</v>
      </c>
    </row>
    <row r="131" customFormat="false" ht="15.75" hidden="false" customHeight="false" outlineLevel="0" collapsed="false">
      <c r="H131" s="0" t="str">
        <f aca="false">IF(A131="","",IFERROR(CHOOSE(SUMPRODUCT((A131&gt;=Calendari!$B$2:$B$6)*(A131&lt;=Calendari!$C$2:$C$6)*{1,2,3,4,5}),"P1","P2","P3","P4","P5"),""))</f>
        <v/>
      </c>
      <c r="I131" s="0" t="n">
        <f aca="false">IF(F131="",0,IFERROR(VALUE(LEFT(TRIM(F131),FIND(" ",TRIM(F131))-1)),0))</f>
        <v>0</v>
      </c>
    </row>
    <row r="132" customFormat="false" ht="15.75" hidden="false" customHeight="false" outlineLevel="0" collapsed="false">
      <c r="H132" s="0" t="str">
        <f aca="false">IF(A132="","",IFERROR(CHOOSE(SUMPRODUCT((A132&gt;=Calendari!$B$2:$B$6)*(A132&lt;=Calendari!$C$2:$C$6)*{1,2,3,4,5}),"P1","P2","P3","P4","P5"),""))</f>
        <v/>
      </c>
      <c r="I132" s="0" t="n">
        <f aca="false">IF(F132="",0,IFERROR(VALUE(LEFT(TRIM(F132),FIND(" ",TRIM(F132))-1)),0))</f>
        <v>0</v>
      </c>
    </row>
    <row r="133" customFormat="false" ht="15.75" hidden="false" customHeight="false" outlineLevel="0" collapsed="false">
      <c r="H133" s="0" t="str">
        <f aca="false">IF(A133="","",IFERROR(CHOOSE(SUMPRODUCT((A133&gt;=Calendari!$B$2:$B$6)*(A133&lt;=Calendari!$C$2:$C$6)*{1,2,3,4,5}),"P1","P2","P3","P4","P5"),""))</f>
        <v/>
      </c>
      <c r="I133" s="0" t="n">
        <f aca="false">IF(F133="",0,IFERROR(VALUE(LEFT(TRIM(F133),FIND(" ",TRIM(F133))-1)),0))</f>
        <v>0</v>
      </c>
    </row>
    <row r="134" customFormat="false" ht="15.75" hidden="false" customHeight="false" outlineLevel="0" collapsed="false">
      <c r="H134" s="0" t="str">
        <f aca="false">IF(A134="","",IFERROR(CHOOSE(SUMPRODUCT((A134&gt;=Calendari!$B$2:$B$6)*(A134&lt;=Calendari!$C$2:$C$6)*{1,2,3,4,5}),"P1","P2","P3","P4","P5"),""))</f>
        <v/>
      </c>
      <c r="I134" s="0" t="n">
        <f aca="false">IF(F134="",0,IFERROR(VALUE(LEFT(TRIM(F134),FIND(" ",TRIM(F134))-1)),0))</f>
        <v>0</v>
      </c>
    </row>
    <row r="135" customFormat="false" ht="15.75" hidden="false" customHeight="false" outlineLevel="0" collapsed="false">
      <c r="H135" s="0" t="str">
        <f aca="false">IF(A135="","",IFERROR(CHOOSE(SUMPRODUCT((A135&gt;=Calendari!$B$2:$B$6)*(A135&lt;=Calendari!$C$2:$C$6)*{1,2,3,4,5}),"P1","P2","P3","P4","P5"),""))</f>
        <v/>
      </c>
      <c r="I135" s="0" t="n">
        <f aca="false">IF(F135="",0,IFERROR(VALUE(LEFT(TRIM(F135),FIND(" ",TRIM(F135))-1)),0))</f>
        <v>0</v>
      </c>
    </row>
    <row r="136" customFormat="false" ht="15.75" hidden="false" customHeight="false" outlineLevel="0" collapsed="false">
      <c r="H136" s="0" t="str">
        <f aca="false">IF(A136="","",IFERROR(CHOOSE(SUMPRODUCT((A136&gt;=Calendari!$B$2:$B$6)*(A136&lt;=Calendari!$C$2:$C$6)*{1,2,3,4,5}),"P1","P2","P3","P4","P5"),""))</f>
        <v/>
      </c>
      <c r="I136" s="0" t="n">
        <f aca="false">IF(F136="",0,IFERROR(VALUE(LEFT(TRIM(F136),FIND(" ",TRIM(F136))-1)),0))</f>
        <v>0</v>
      </c>
    </row>
    <row r="137" customFormat="false" ht="15.75" hidden="false" customHeight="false" outlineLevel="0" collapsed="false">
      <c r="H137" s="0" t="str">
        <f aca="false">IF(A137="","",IFERROR(CHOOSE(SUMPRODUCT((A137&gt;=Calendari!$B$2:$B$6)*(A137&lt;=Calendari!$C$2:$C$6)*{1,2,3,4,5}),"P1","P2","P3","P4","P5"),""))</f>
        <v/>
      </c>
      <c r="I137" s="0" t="n">
        <f aca="false">IF(F137="",0,IFERROR(VALUE(LEFT(TRIM(F137),FIND(" ",TRIM(F137))-1)),0))</f>
        <v>0</v>
      </c>
    </row>
    <row r="138" customFormat="false" ht="15.75" hidden="false" customHeight="false" outlineLevel="0" collapsed="false">
      <c r="H138" s="0" t="str">
        <f aca="false">IF(A138="","",IFERROR(CHOOSE(SUMPRODUCT((A138&gt;=Calendari!$B$2:$B$6)*(A138&lt;=Calendari!$C$2:$C$6)*{1,2,3,4,5}),"P1","P2","P3","P4","P5"),""))</f>
        <v/>
      </c>
      <c r="I138" s="0" t="n">
        <f aca="false">IF(F138="",0,IFERROR(VALUE(LEFT(TRIM(F138),FIND(" ",TRIM(F138))-1)),0))</f>
        <v>0</v>
      </c>
    </row>
    <row r="139" customFormat="false" ht="15.75" hidden="false" customHeight="false" outlineLevel="0" collapsed="false">
      <c r="H139" s="0" t="str">
        <f aca="false">IF(A139="","",IFERROR(CHOOSE(SUMPRODUCT((A139&gt;=Calendari!$B$2:$B$6)*(A139&lt;=Calendari!$C$2:$C$6)*{1,2,3,4,5}),"P1","P2","P3","P4","P5"),""))</f>
        <v/>
      </c>
      <c r="I139" s="0" t="n">
        <f aca="false">IF(F139="",0,IFERROR(VALUE(LEFT(TRIM(F139),FIND(" ",TRIM(F139))-1)),0))</f>
        <v>0</v>
      </c>
    </row>
    <row r="140" customFormat="false" ht="15.75" hidden="false" customHeight="false" outlineLevel="0" collapsed="false">
      <c r="H140" s="0" t="str">
        <f aca="false">IF(A140="","",IFERROR(CHOOSE(SUMPRODUCT((A140&gt;=Calendari!$B$2:$B$6)*(A140&lt;=Calendari!$C$2:$C$6)*{1,2,3,4,5}),"P1","P2","P3","P4","P5"),""))</f>
        <v/>
      </c>
      <c r="I140" s="0" t="n">
        <f aca="false">IF(F140="",0,IFERROR(VALUE(LEFT(TRIM(F140),FIND(" ",TRIM(F140))-1)),0))</f>
        <v>0</v>
      </c>
    </row>
    <row r="141" customFormat="false" ht="15.75" hidden="false" customHeight="false" outlineLevel="0" collapsed="false">
      <c r="H141" s="0" t="str">
        <f aca="false">IF(A141="","",IFERROR(CHOOSE(SUMPRODUCT((A141&gt;=Calendari!$B$2:$B$6)*(A141&lt;=Calendari!$C$2:$C$6)*{1,2,3,4,5}),"P1","P2","P3","P4","P5"),""))</f>
        <v/>
      </c>
      <c r="I141" s="0" t="n">
        <f aca="false">IF(F141="",0,IFERROR(VALUE(LEFT(TRIM(F141),FIND(" ",TRIM(F141))-1)),0))</f>
        <v>0</v>
      </c>
    </row>
    <row r="142" customFormat="false" ht="15.75" hidden="false" customHeight="false" outlineLevel="0" collapsed="false">
      <c r="H142" s="0" t="str">
        <f aca="false">IF(A142="","",IFERROR(CHOOSE(SUMPRODUCT((A142&gt;=Calendari!$B$2:$B$6)*(A142&lt;=Calendari!$C$2:$C$6)*{1,2,3,4,5}),"P1","P2","P3","P4","P5"),""))</f>
        <v/>
      </c>
      <c r="I142" s="0" t="n">
        <f aca="false">IF(F142="",0,IFERROR(VALUE(LEFT(TRIM(F142),FIND(" ",TRIM(F142))-1)),0))</f>
        <v>0</v>
      </c>
    </row>
    <row r="143" customFormat="false" ht="15.75" hidden="false" customHeight="false" outlineLevel="0" collapsed="false">
      <c r="H143" s="0" t="str">
        <f aca="false">IF(A143="","",IFERROR(CHOOSE(SUMPRODUCT((A143&gt;=Calendari!$B$2:$B$6)*(A143&lt;=Calendari!$C$2:$C$6)*{1,2,3,4,5}),"P1","P2","P3","P4","P5"),""))</f>
        <v/>
      </c>
      <c r="I143" s="0" t="n">
        <f aca="false">IF(F143="",0,IFERROR(VALUE(LEFT(TRIM(F143),FIND(" ",TRIM(F143))-1)),0))</f>
        <v>0</v>
      </c>
    </row>
    <row r="144" customFormat="false" ht="15.75" hidden="false" customHeight="false" outlineLevel="0" collapsed="false">
      <c r="H144" s="0" t="str">
        <f aca="false">IF(A144="","",IFERROR(CHOOSE(SUMPRODUCT((A144&gt;=Calendari!$B$2:$B$6)*(A144&lt;=Calendari!$C$2:$C$6)*{1,2,3,4,5}),"P1","P2","P3","P4","P5"),""))</f>
        <v/>
      </c>
      <c r="I144" s="0" t="n">
        <f aca="false">IF(F144="",0,IFERROR(VALUE(LEFT(TRIM(F144),FIND(" ",TRIM(F144))-1)),0))</f>
        <v>0</v>
      </c>
    </row>
    <row r="145" customFormat="false" ht="15.75" hidden="false" customHeight="false" outlineLevel="0" collapsed="false">
      <c r="H145" s="0" t="str">
        <f aca="false">IF(A145="","",IFERROR(CHOOSE(SUMPRODUCT((A145&gt;=Calendari!$B$2:$B$6)*(A145&lt;=Calendari!$C$2:$C$6)*{1,2,3,4,5}),"P1","P2","P3","P4","P5"),""))</f>
        <v/>
      </c>
      <c r="I145" s="0" t="n">
        <f aca="false">IF(F145="",0,IFERROR(VALUE(LEFT(TRIM(F145),FIND(" ",TRIM(F145))-1)),0))</f>
        <v>0</v>
      </c>
    </row>
    <row r="146" customFormat="false" ht="15.75" hidden="false" customHeight="false" outlineLevel="0" collapsed="false">
      <c r="H146" s="0" t="str">
        <f aca="false">IF(A146="","",IFERROR(CHOOSE(SUMPRODUCT((A146&gt;=Calendari!$B$2:$B$6)*(A146&lt;=Calendari!$C$2:$C$6)*{1,2,3,4,5}),"P1","P2","P3","P4","P5"),""))</f>
        <v/>
      </c>
      <c r="I146" s="0" t="n">
        <f aca="false">IF(F146="",0,IFERROR(VALUE(LEFT(TRIM(F146),FIND(" ",TRIM(F146))-1)),0))</f>
        <v>0</v>
      </c>
    </row>
    <row r="147" customFormat="false" ht="15.75" hidden="false" customHeight="false" outlineLevel="0" collapsed="false">
      <c r="H147" s="0" t="str">
        <f aca="false">IF(A147="","",IFERROR(CHOOSE(SUMPRODUCT((A147&gt;=Calendari!$B$2:$B$6)*(A147&lt;=Calendari!$C$2:$C$6)*{1,2,3,4,5}),"P1","P2","P3","P4","P5"),""))</f>
        <v/>
      </c>
      <c r="I147" s="0" t="n">
        <f aca="false">IF(F147="",0,IFERROR(VALUE(LEFT(TRIM(F147),FIND(" ",TRIM(F147))-1)),0))</f>
        <v>0</v>
      </c>
    </row>
    <row r="148" customFormat="false" ht="15.75" hidden="false" customHeight="false" outlineLevel="0" collapsed="false">
      <c r="H148" s="0" t="str">
        <f aca="false">IF(A148="","",IFERROR(CHOOSE(SUMPRODUCT((A148&gt;=Calendari!$B$2:$B$6)*(A148&lt;=Calendari!$C$2:$C$6)*{1,2,3,4,5}),"P1","P2","P3","P4","P5"),""))</f>
        <v/>
      </c>
      <c r="I148" s="0" t="n">
        <f aca="false">IF(F148="",0,IFERROR(VALUE(LEFT(TRIM(F148),FIND(" ",TRIM(F148))-1)),0))</f>
        <v>0</v>
      </c>
    </row>
    <row r="149" customFormat="false" ht="15.75" hidden="false" customHeight="false" outlineLevel="0" collapsed="false">
      <c r="H149" s="0" t="str">
        <f aca="false">IF(A149="","",IFERROR(CHOOSE(SUMPRODUCT((A149&gt;=Calendari!$B$2:$B$6)*(A149&lt;=Calendari!$C$2:$C$6)*{1,2,3,4,5}),"P1","P2","P3","P4","P5"),""))</f>
        <v/>
      </c>
      <c r="I149" s="0" t="n">
        <f aca="false">IF(F149="",0,IFERROR(VALUE(LEFT(TRIM(F149),FIND(" ",TRIM(F149))-1)),0))</f>
        <v>0</v>
      </c>
    </row>
    <row r="150" customFormat="false" ht="15.75" hidden="false" customHeight="false" outlineLevel="0" collapsed="false">
      <c r="H150" s="0" t="str">
        <f aca="false">IF(A150="","",IFERROR(CHOOSE(SUMPRODUCT((A150&gt;=Calendari!$B$2:$B$6)*(A150&lt;=Calendari!$C$2:$C$6)*{1,2,3,4,5}),"P1","P2","P3","P4","P5"),""))</f>
        <v/>
      </c>
      <c r="I150" s="0" t="n">
        <f aca="false">IF(F150="",0,IFERROR(VALUE(LEFT(TRIM(F150),FIND(" ",TRIM(F150))-1)),0))</f>
        <v>0</v>
      </c>
    </row>
    <row r="151" customFormat="false" ht="15.75" hidden="false" customHeight="false" outlineLevel="0" collapsed="false">
      <c r="H151" s="0" t="str">
        <f aca="false">IF(A151="","",IFERROR(CHOOSE(SUMPRODUCT((A151&gt;=Calendari!$B$2:$B$6)*(A151&lt;=Calendari!$C$2:$C$6)*{1,2,3,4,5}),"P1","P2","P3","P4","P5"),""))</f>
        <v/>
      </c>
      <c r="I151" s="0" t="n">
        <f aca="false">IF(F151="",0,IFERROR(VALUE(LEFT(TRIM(F151),FIND(" ",TRIM(F151))-1)),0))</f>
        <v>0</v>
      </c>
    </row>
    <row r="152" customFormat="false" ht="15.75" hidden="false" customHeight="false" outlineLevel="0" collapsed="false">
      <c r="H152" s="0" t="str">
        <f aca="false">IF(A152="","",IFERROR(CHOOSE(SUMPRODUCT((A152&gt;=Calendari!$B$2:$B$6)*(A152&lt;=Calendari!$C$2:$C$6)*{1,2,3,4,5}),"P1","P2","P3","P4","P5"),""))</f>
        <v/>
      </c>
      <c r="I152" s="0" t="n">
        <f aca="false">IF(F152="",0,IFERROR(VALUE(LEFT(TRIM(F152),FIND(" ",TRIM(F152))-1)),0))</f>
        <v>0</v>
      </c>
    </row>
    <row r="153" customFormat="false" ht="15.75" hidden="false" customHeight="false" outlineLevel="0" collapsed="false">
      <c r="H153" s="0" t="str">
        <f aca="false">IF(A153="","",IFERROR(CHOOSE(SUMPRODUCT((A153&gt;=Calendari!$B$2:$B$6)*(A153&lt;=Calendari!$C$2:$C$6)*{1,2,3,4,5}),"P1","P2","P3","P4","P5"),""))</f>
        <v/>
      </c>
      <c r="I153" s="0" t="n">
        <f aca="false">IF(F153="",0,IFERROR(VALUE(LEFT(TRIM(F153),FIND(" ",TRIM(F153))-1)),0))</f>
        <v>0</v>
      </c>
    </row>
    <row r="154" customFormat="false" ht="15.75" hidden="false" customHeight="false" outlineLevel="0" collapsed="false">
      <c r="H154" s="0" t="str">
        <f aca="false">IF(A154="","",IFERROR(CHOOSE(SUMPRODUCT((A154&gt;=Calendari!$B$2:$B$6)*(A154&lt;=Calendari!$C$2:$C$6)*{1,2,3,4,5}),"P1","P2","P3","P4","P5"),""))</f>
        <v/>
      </c>
      <c r="I154" s="0" t="n">
        <f aca="false">IF(F154="",0,IFERROR(VALUE(LEFT(TRIM(F154),FIND(" ",TRIM(F154))-1)),0))</f>
        <v>0</v>
      </c>
    </row>
    <row r="155" customFormat="false" ht="15.75" hidden="false" customHeight="false" outlineLevel="0" collapsed="false">
      <c r="H155" s="0" t="str">
        <f aca="false">IF(A155="","",IFERROR(CHOOSE(SUMPRODUCT((A155&gt;=Calendari!$B$2:$B$6)*(A155&lt;=Calendari!$C$2:$C$6)*{1,2,3,4,5}),"P1","P2","P3","P4","P5"),""))</f>
        <v/>
      </c>
      <c r="I155" s="0" t="n">
        <f aca="false">IF(F155="",0,IFERROR(VALUE(LEFT(TRIM(F155),FIND(" ",TRIM(F155))-1)),0))</f>
        <v>0</v>
      </c>
    </row>
    <row r="156" customFormat="false" ht="15.75" hidden="false" customHeight="false" outlineLevel="0" collapsed="false">
      <c r="H156" s="0" t="str">
        <f aca="false">IF(A156="","",IFERROR(CHOOSE(SUMPRODUCT((A156&gt;=Calendari!$B$2:$B$6)*(A156&lt;=Calendari!$C$2:$C$6)*{1,2,3,4,5}),"P1","P2","P3","P4","P5"),""))</f>
        <v/>
      </c>
      <c r="I156" s="0" t="n">
        <f aca="false">IF(F156="",0,IFERROR(VALUE(LEFT(TRIM(F156),FIND(" ",TRIM(F156))-1)),0))</f>
        <v>0</v>
      </c>
    </row>
    <row r="157" customFormat="false" ht="15.75" hidden="false" customHeight="false" outlineLevel="0" collapsed="false">
      <c r="H157" s="0" t="str">
        <f aca="false">IF(A157="","",IFERROR(CHOOSE(SUMPRODUCT((A157&gt;=Calendari!$B$2:$B$6)*(A157&lt;=Calendari!$C$2:$C$6)*{1,2,3,4,5}),"P1","P2","P3","P4","P5"),""))</f>
        <v/>
      </c>
      <c r="I157" s="0" t="n">
        <f aca="false">IF(F157="",0,IFERROR(VALUE(LEFT(TRIM(F157),FIND(" ",TRIM(F157))-1)),0))</f>
        <v>0</v>
      </c>
    </row>
    <row r="158" customFormat="false" ht="15.75" hidden="false" customHeight="false" outlineLevel="0" collapsed="false">
      <c r="H158" s="0" t="str">
        <f aca="false">IF(A158="","",IFERROR(CHOOSE(SUMPRODUCT((A158&gt;=Calendari!$B$2:$B$6)*(A158&lt;=Calendari!$C$2:$C$6)*{1,2,3,4,5}),"P1","P2","P3","P4","P5"),""))</f>
        <v/>
      </c>
      <c r="I158" s="0" t="n">
        <f aca="false">IF(F158="",0,IFERROR(VALUE(LEFT(TRIM(F158),FIND(" ",TRIM(F158))-1)),0))</f>
        <v>0</v>
      </c>
    </row>
    <row r="159" customFormat="false" ht="15.75" hidden="false" customHeight="false" outlineLevel="0" collapsed="false">
      <c r="H159" s="0" t="str">
        <f aca="false">IF(A159="","",IFERROR(CHOOSE(SUMPRODUCT((A159&gt;=Calendari!$B$2:$B$6)*(A159&lt;=Calendari!$C$2:$C$6)*{1,2,3,4,5}),"P1","P2","P3","P4","P5"),""))</f>
        <v/>
      </c>
      <c r="I159" s="0" t="n">
        <f aca="false">IF(F159="",0,IFERROR(VALUE(LEFT(TRIM(F159),FIND(" ",TRIM(F159))-1)),0))</f>
        <v>0</v>
      </c>
    </row>
    <row r="160" customFormat="false" ht="15.75" hidden="false" customHeight="false" outlineLevel="0" collapsed="false">
      <c r="H160" s="0" t="str">
        <f aca="false">IF(A160="","",IFERROR(CHOOSE(SUMPRODUCT((A160&gt;=Calendari!$B$2:$B$6)*(A160&lt;=Calendari!$C$2:$C$6)*{1,2,3,4,5}),"P1","P2","P3","P4","P5"),""))</f>
        <v/>
      </c>
      <c r="I160" s="0" t="n">
        <f aca="false">IF(F160="",0,IFERROR(VALUE(LEFT(TRIM(F160),FIND(" ",TRIM(F160))-1)),0))</f>
        <v>0</v>
      </c>
    </row>
    <row r="161" customFormat="false" ht="15.75" hidden="false" customHeight="false" outlineLevel="0" collapsed="false">
      <c r="H161" s="0" t="str">
        <f aca="false">IF(A161="","",IFERROR(CHOOSE(SUMPRODUCT((A161&gt;=Calendari!$B$2:$B$6)*(A161&lt;=Calendari!$C$2:$C$6)*{1,2,3,4,5}),"P1","P2","P3","P4","P5"),""))</f>
        <v/>
      </c>
      <c r="I161" s="0" t="n">
        <f aca="false">IF(F161="",0,IFERROR(VALUE(LEFT(TRIM(F161),FIND(" ",TRIM(F161))-1)),0))</f>
        <v>0</v>
      </c>
    </row>
    <row r="162" customFormat="false" ht="15.75" hidden="false" customHeight="false" outlineLevel="0" collapsed="false">
      <c r="H162" s="0" t="str">
        <f aca="false">IF(A162="","",IFERROR(CHOOSE(SUMPRODUCT((A162&gt;=Calendari!$B$2:$B$6)*(A162&lt;=Calendari!$C$2:$C$6)*{1,2,3,4,5}),"P1","P2","P3","P4","P5"),""))</f>
        <v/>
      </c>
      <c r="I162" s="0" t="n">
        <f aca="false">IF(F162="",0,IFERROR(VALUE(LEFT(TRIM(F162),FIND(" ",TRIM(F162))-1)),0))</f>
        <v>0</v>
      </c>
    </row>
    <row r="163" customFormat="false" ht="15.75" hidden="false" customHeight="false" outlineLevel="0" collapsed="false">
      <c r="H163" s="0" t="str">
        <f aca="false">IF(A163="","",IFERROR(CHOOSE(SUMPRODUCT((A163&gt;=Calendari!$B$2:$B$6)*(A163&lt;=Calendari!$C$2:$C$6)*{1,2,3,4,5}),"P1","P2","P3","P4","P5"),""))</f>
        <v/>
      </c>
      <c r="I163" s="0" t="n">
        <f aca="false">IF(F163="",0,IFERROR(VALUE(LEFT(TRIM(F163),FIND(" ",TRIM(F163))-1)),0))</f>
        <v>0</v>
      </c>
    </row>
    <row r="164" customFormat="false" ht="15.75" hidden="false" customHeight="false" outlineLevel="0" collapsed="false">
      <c r="H164" s="0" t="str">
        <f aca="false">IF(A164="","",IFERROR(CHOOSE(SUMPRODUCT((A164&gt;=Calendari!$B$2:$B$6)*(A164&lt;=Calendari!$C$2:$C$6)*{1,2,3,4,5}),"P1","P2","P3","P4","P5"),""))</f>
        <v/>
      </c>
      <c r="I164" s="0" t="n">
        <f aca="false">IF(F164="",0,IFERROR(VALUE(LEFT(TRIM(F164),FIND(" ",TRIM(F164))-1)),0))</f>
        <v>0</v>
      </c>
    </row>
    <row r="165" customFormat="false" ht="15.75" hidden="false" customHeight="false" outlineLevel="0" collapsed="false">
      <c r="H165" s="0" t="str">
        <f aca="false">IF(A165="","",IFERROR(CHOOSE(SUMPRODUCT((A165&gt;=Calendari!$B$2:$B$6)*(A165&lt;=Calendari!$C$2:$C$6)*{1,2,3,4,5}),"P1","P2","P3","P4","P5"),""))</f>
        <v/>
      </c>
      <c r="I165" s="0" t="n">
        <f aca="false">IF(F165="",0,IFERROR(VALUE(LEFT(TRIM(F165),FIND(" ",TRIM(F165))-1)),0))</f>
        <v>0</v>
      </c>
    </row>
    <row r="166" customFormat="false" ht="15.75" hidden="false" customHeight="false" outlineLevel="0" collapsed="false">
      <c r="H166" s="0" t="str">
        <f aca="false">IF(A166="","",IFERROR(CHOOSE(SUMPRODUCT((A166&gt;=Calendari!$B$2:$B$6)*(A166&lt;=Calendari!$C$2:$C$6)*{1,2,3,4,5}),"P1","P2","P3","P4","P5"),""))</f>
        <v/>
      </c>
      <c r="I166" s="0" t="n">
        <f aca="false">IF(F166="",0,IFERROR(VALUE(LEFT(TRIM(F166),FIND(" ",TRIM(F166))-1)),0))</f>
        <v>0</v>
      </c>
    </row>
    <row r="167" customFormat="false" ht="15.75" hidden="false" customHeight="false" outlineLevel="0" collapsed="false">
      <c r="H167" s="0" t="str">
        <f aca="false">IF(A167="","",IFERROR(CHOOSE(SUMPRODUCT((A167&gt;=Calendari!$B$2:$B$6)*(A167&lt;=Calendari!$C$2:$C$6)*{1,2,3,4,5}),"P1","P2","P3","P4","P5"),""))</f>
        <v/>
      </c>
      <c r="I167" s="0" t="n">
        <f aca="false">IF(F167="",0,IFERROR(VALUE(LEFT(TRIM(F167),FIND(" ",TRIM(F167))-1)),0))</f>
        <v>0</v>
      </c>
    </row>
    <row r="168" customFormat="false" ht="15.75" hidden="false" customHeight="false" outlineLevel="0" collapsed="false">
      <c r="H168" s="0" t="str">
        <f aca="false">IF(A168="","",IFERROR(CHOOSE(SUMPRODUCT((A168&gt;=Calendari!$B$2:$B$6)*(A168&lt;=Calendari!$C$2:$C$6)*{1,2,3,4,5}),"P1","P2","P3","P4","P5"),""))</f>
        <v/>
      </c>
      <c r="I168" s="0" t="n">
        <f aca="false">IF(F168="",0,IFERROR(VALUE(LEFT(TRIM(F168),FIND(" ",TRIM(F168))-1)),0))</f>
        <v>0</v>
      </c>
    </row>
    <row r="169" customFormat="false" ht="15.75" hidden="false" customHeight="false" outlineLevel="0" collapsed="false">
      <c r="H169" s="0" t="str">
        <f aca="false">IF(A169="","",IFERROR(CHOOSE(SUMPRODUCT((A169&gt;=Calendari!$B$2:$B$6)*(A169&lt;=Calendari!$C$2:$C$6)*{1,2,3,4,5}),"P1","P2","P3","P4","P5"),""))</f>
        <v/>
      </c>
      <c r="I169" s="0" t="n">
        <f aca="false">IF(F169="",0,IFERROR(VALUE(LEFT(TRIM(F169),FIND(" ",TRIM(F169))-1)),0))</f>
        <v>0</v>
      </c>
    </row>
    <row r="170" customFormat="false" ht="15.75" hidden="false" customHeight="false" outlineLevel="0" collapsed="false">
      <c r="H170" s="0" t="str">
        <f aca="false">IF(A170="","",IFERROR(CHOOSE(SUMPRODUCT((A170&gt;=Calendari!$B$2:$B$6)*(A170&lt;=Calendari!$C$2:$C$6)*{1,2,3,4,5}),"P1","P2","P3","P4","P5"),""))</f>
        <v/>
      </c>
      <c r="I170" s="0" t="n">
        <f aca="false">IF(F170="",0,IFERROR(VALUE(LEFT(TRIM(F170),FIND(" ",TRIM(F170))-1)),0))</f>
        <v>0</v>
      </c>
    </row>
    <row r="171" customFormat="false" ht="15.75" hidden="false" customHeight="false" outlineLevel="0" collapsed="false">
      <c r="H171" s="0" t="str">
        <f aca="false">IF(A171="","",IFERROR(CHOOSE(SUMPRODUCT((A171&gt;=Calendari!$B$2:$B$6)*(A171&lt;=Calendari!$C$2:$C$6)*{1,2,3,4,5}),"P1","P2","P3","P4","P5"),""))</f>
        <v/>
      </c>
      <c r="I171" s="0" t="n">
        <f aca="false">IF(F171="",0,IFERROR(VALUE(LEFT(TRIM(F171),FIND(" ",TRIM(F171))-1)),0))</f>
        <v>0</v>
      </c>
    </row>
    <row r="172" customFormat="false" ht="15.75" hidden="false" customHeight="false" outlineLevel="0" collapsed="false">
      <c r="H172" s="0" t="str">
        <f aca="false">IF(A172="","",IFERROR(CHOOSE(SUMPRODUCT((A172&gt;=Calendari!$B$2:$B$6)*(A172&lt;=Calendari!$C$2:$C$6)*{1,2,3,4,5}),"P1","P2","P3","P4","P5"),""))</f>
        <v/>
      </c>
      <c r="I172" s="0" t="n">
        <f aca="false">IF(F172="",0,IFERROR(VALUE(LEFT(TRIM(F172),FIND(" ",TRIM(F172))-1)),0))</f>
        <v>0</v>
      </c>
    </row>
    <row r="173" customFormat="false" ht="15.75" hidden="false" customHeight="false" outlineLevel="0" collapsed="false">
      <c r="H173" s="0" t="str">
        <f aca="false">IF(A173="","",IFERROR(CHOOSE(SUMPRODUCT((A173&gt;=Calendari!$B$2:$B$6)*(A173&lt;=Calendari!$C$2:$C$6)*{1,2,3,4,5}),"P1","P2","P3","P4","P5"),""))</f>
        <v/>
      </c>
      <c r="I173" s="0" t="n">
        <f aca="false">IF(F173="",0,IFERROR(VALUE(LEFT(TRIM(F173),FIND(" ",TRIM(F173))-1)),0))</f>
        <v>0</v>
      </c>
    </row>
    <row r="174" customFormat="false" ht="15.75" hidden="false" customHeight="false" outlineLevel="0" collapsed="false">
      <c r="H174" s="0" t="str">
        <f aca="false">IF(A174="","",IFERROR(CHOOSE(SUMPRODUCT((A174&gt;=Calendari!$B$2:$B$6)*(A174&lt;=Calendari!$C$2:$C$6)*{1,2,3,4,5}),"P1","P2","P3","P4","P5"),""))</f>
        <v/>
      </c>
      <c r="I174" s="0" t="n">
        <f aca="false">IF(F174="",0,IFERROR(VALUE(LEFT(TRIM(F174),FIND(" ",TRIM(F174))-1)),0))</f>
        <v>0</v>
      </c>
    </row>
    <row r="175" customFormat="false" ht="15.75" hidden="false" customHeight="false" outlineLevel="0" collapsed="false">
      <c r="H175" s="0" t="str">
        <f aca="false">IF(A175="","",IFERROR(CHOOSE(SUMPRODUCT((A175&gt;=Calendari!$B$2:$B$6)*(A175&lt;=Calendari!$C$2:$C$6)*{1,2,3,4,5}),"P1","P2","P3","P4","P5"),""))</f>
        <v/>
      </c>
      <c r="I175" s="0" t="n">
        <f aca="false">IF(F175="",0,IFERROR(VALUE(LEFT(TRIM(F175),FIND(" ",TRIM(F175))-1)),0))</f>
        <v>0</v>
      </c>
    </row>
    <row r="176" customFormat="false" ht="15.75" hidden="false" customHeight="false" outlineLevel="0" collapsed="false">
      <c r="H176" s="0" t="str">
        <f aca="false">IF(A176="","",IFERROR(CHOOSE(SUMPRODUCT((A176&gt;=Calendari!$B$2:$B$6)*(A176&lt;=Calendari!$C$2:$C$6)*{1,2,3,4,5}),"P1","P2","P3","P4","P5"),""))</f>
        <v/>
      </c>
      <c r="I176" s="0" t="n">
        <f aca="false">IF(F176="",0,IFERROR(VALUE(LEFT(TRIM(F176),FIND(" ",TRIM(F176))-1)),0))</f>
        <v>0</v>
      </c>
    </row>
    <row r="177" customFormat="false" ht="15.75" hidden="false" customHeight="false" outlineLevel="0" collapsed="false">
      <c r="H177" s="0" t="str">
        <f aca="false">IF(A177="","",IFERROR(CHOOSE(SUMPRODUCT((A177&gt;=Calendari!$B$2:$B$6)*(A177&lt;=Calendari!$C$2:$C$6)*{1,2,3,4,5}),"P1","P2","P3","P4","P5"),""))</f>
        <v/>
      </c>
      <c r="I177" s="0" t="n">
        <f aca="false">IF(F177="",0,IFERROR(VALUE(LEFT(TRIM(F177),FIND(" ",TRIM(F177))-1)),0))</f>
        <v>0</v>
      </c>
    </row>
    <row r="178" customFormat="false" ht="15.75" hidden="false" customHeight="false" outlineLevel="0" collapsed="false">
      <c r="H178" s="0" t="str">
        <f aca="false">IF(A178="","",IFERROR(CHOOSE(SUMPRODUCT((A178&gt;=Calendari!$B$2:$B$6)*(A178&lt;=Calendari!$C$2:$C$6)*{1,2,3,4,5}),"P1","P2","P3","P4","P5"),""))</f>
        <v/>
      </c>
      <c r="I178" s="0" t="n">
        <f aca="false">IF(F178="",0,IFERROR(VALUE(LEFT(TRIM(F178),FIND(" ",TRIM(F178))-1)),0))</f>
        <v>0</v>
      </c>
    </row>
    <row r="179" customFormat="false" ht="15.75" hidden="false" customHeight="false" outlineLevel="0" collapsed="false">
      <c r="H179" s="0" t="str">
        <f aca="false">IF(A179="","",IFERROR(CHOOSE(SUMPRODUCT((A179&gt;=Calendari!$B$2:$B$6)*(A179&lt;=Calendari!$C$2:$C$6)*{1,2,3,4,5}),"P1","P2","P3","P4","P5"),""))</f>
        <v/>
      </c>
      <c r="I179" s="0" t="n">
        <f aca="false">IF(F179="",0,IFERROR(VALUE(LEFT(TRIM(F179),FIND(" ",TRIM(F179))-1)),0))</f>
        <v>0</v>
      </c>
    </row>
    <row r="180" customFormat="false" ht="15.75" hidden="false" customHeight="false" outlineLevel="0" collapsed="false">
      <c r="H180" s="0" t="str">
        <f aca="false">IF(A180="","",IFERROR(CHOOSE(SUMPRODUCT((A180&gt;=Calendari!$B$2:$B$6)*(A180&lt;=Calendari!$C$2:$C$6)*{1,2,3,4,5}),"P1","P2","P3","P4","P5"),""))</f>
        <v/>
      </c>
      <c r="I180" s="0" t="n">
        <f aca="false">IF(F180="",0,IFERROR(VALUE(LEFT(TRIM(F180),FIND(" ",TRIM(F180))-1)),0))</f>
        <v>0</v>
      </c>
    </row>
    <row r="181" customFormat="false" ht="15.75" hidden="false" customHeight="false" outlineLevel="0" collapsed="false">
      <c r="H181" s="0" t="str">
        <f aca="false">IF(A181="","",IFERROR(CHOOSE(SUMPRODUCT((A181&gt;=Calendari!$B$2:$B$6)*(A181&lt;=Calendari!$C$2:$C$6)*{1,2,3,4,5}),"P1","P2","P3","P4","P5"),""))</f>
        <v/>
      </c>
      <c r="I181" s="0" t="n">
        <f aca="false">IF(F181="",0,IFERROR(VALUE(LEFT(TRIM(F181),FIND(" ",TRIM(F181))-1)),0))</f>
        <v>0</v>
      </c>
    </row>
    <row r="182" customFormat="false" ht="15.75" hidden="false" customHeight="false" outlineLevel="0" collapsed="false">
      <c r="H182" s="0" t="str">
        <f aca="false">IF(A182="","",IFERROR(CHOOSE(SUMPRODUCT((A182&gt;=Calendari!$B$2:$B$6)*(A182&lt;=Calendari!$C$2:$C$6)*{1,2,3,4,5}),"P1","P2","P3","P4","P5"),""))</f>
        <v/>
      </c>
      <c r="I182" s="0" t="n">
        <f aca="false">IF(F182="",0,IFERROR(VALUE(LEFT(TRIM(F182),FIND(" ",TRIM(F182))-1)),0))</f>
        <v>0</v>
      </c>
    </row>
    <row r="183" customFormat="false" ht="15.75" hidden="false" customHeight="false" outlineLevel="0" collapsed="false">
      <c r="H183" s="0" t="str">
        <f aca="false">IF(A183="","",IFERROR(CHOOSE(SUMPRODUCT((A183&gt;=Calendari!$B$2:$B$6)*(A183&lt;=Calendari!$C$2:$C$6)*{1,2,3,4,5}),"P1","P2","P3","P4","P5"),""))</f>
        <v/>
      </c>
      <c r="I183" s="0" t="n">
        <f aca="false">IF(F183="",0,IFERROR(VALUE(LEFT(TRIM(F183),FIND(" ",TRIM(F183))-1)),0))</f>
        <v>0</v>
      </c>
    </row>
    <row r="184" customFormat="false" ht="15.75" hidden="false" customHeight="false" outlineLevel="0" collapsed="false">
      <c r="H184" s="0" t="str">
        <f aca="false">IF(A184="","",IFERROR(CHOOSE(SUMPRODUCT((A184&gt;=Calendari!$B$2:$B$6)*(A184&lt;=Calendari!$C$2:$C$6)*{1,2,3,4,5}),"P1","P2","P3","P4","P5"),""))</f>
        <v/>
      </c>
      <c r="I184" s="0" t="n">
        <f aca="false">IF(F184="",0,IFERROR(VALUE(LEFT(TRIM(F184),FIND(" ",TRIM(F184))-1)),0))</f>
        <v>0</v>
      </c>
    </row>
    <row r="185" customFormat="false" ht="15.75" hidden="false" customHeight="false" outlineLevel="0" collapsed="false">
      <c r="H185" s="0" t="str">
        <f aca="false">IF(A185="","",IFERROR(CHOOSE(SUMPRODUCT((A185&gt;=Calendari!$B$2:$B$6)*(A185&lt;=Calendari!$C$2:$C$6)*{1,2,3,4,5}),"P1","P2","P3","P4","P5"),""))</f>
        <v/>
      </c>
      <c r="I185" s="0" t="n">
        <f aca="false">IF(F185="",0,IFERROR(VALUE(LEFT(TRIM(F185),FIND(" ",TRIM(F185))-1)),0))</f>
        <v>0</v>
      </c>
    </row>
    <row r="186" customFormat="false" ht="15.75" hidden="false" customHeight="false" outlineLevel="0" collapsed="false">
      <c r="H186" s="0" t="str">
        <f aca="false">IF(A186="","",IFERROR(CHOOSE(SUMPRODUCT((A186&gt;=Calendari!$B$2:$B$6)*(A186&lt;=Calendari!$C$2:$C$6)*{1,2,3,4,5}),"P1","P2","P3","P4","P5"),""))</f>
        <v/>
      </c>
      <c r="I186" s="0" t="n">
        <f aca="false">IF(F186="",0,IFERROR(VALUE(LEFT(TRIM(F186),FIND(" ",TRIM(F186))-1)),0))</f>
        <v>0</v>
      </c>
    </row>
    <row r="187" customFormat="false" ht="15.75" hidden="false" customHeight="false" outlineLevel="0" collapsed="false">
      <c r="H187" s="0" t="str">
        <f aca="false">IF(A187="","",IFERROR(CHOOSE(SUMPRODUCT((A187&gt;=Calendari!$B$2:$B$6)*(A187&lt;=Calendari!$C$2:$C$6)*{1,2,3,4,5}),"P1","P2","P3","P4","P5"),""))</f>
        <v/>
      </c>
      <c r="I187" s="0" t="n">
        <f aca="false">IF(F187="",0,IFERROR(VALUE(LEFT(TRIM(F187),FIND(" ",TRIM(F187))-1)),0))</f>
        <v>0</v>
      </c>
    </row>
    <row r="188" customFormat="false" ht="15.75" hidden="false" customHeight="false" outlineLevel="0" collapsed="false">
      <c r="H188" s="0" t="str">
        <f aca="false">IF(A188="","",IFERROR(CHOOSE(SUMPRODUCT((A188&gt;=Calendari!$B$2:$B$6)*(A188&lt;=Calendari!$C$2:$C$6)*{1,2,3,4,5}),"P1","P2","P3","P4","P5"),""))</f>
        <v/>
      </c>
      <c r="I188" s="0" t="n">
        <f aca="false">IF(F188="",0,IFERROR(VALUE(LEFT(TRIM(F188),FIND(" ",TRIM(F188))-1)),0))</f>
        <v>0</v>
      </c>
    </row>
    <row r="189" customFormat="false" ht="15.75" hidden="false" customHeight="false" outlineLevel="0" collapsed="false">
      <c r="H189" s="0" t="str">
        <f aca="false">IF(A189="","",IFERROR(CHOOSE(SUMPRODUCT((A189&gt;=Calendari!$B$2:$B$6)*(A189&lt;=Calendari!$C$2:$C$6)*{1,2,3,4,5}),"P1","P2","P3","P4","P5"),""))</f>
        <v/>
      </c>
      <c r="I189" s="0" t="n">
        <f aca="false">IF(F189="",0,IFERROR(VALUE(LEFT(TRIM(F189),FIND(" ",TRIM(F189))-1)),0))</f>
        <v>0</v>
      </c>
    </row>
    <row r="190" customFormat="false" ht="15.75" hidden="false" customHeight="false" outlineLevel="0" collapsed="false">
      <c r="H190" s="0" t="str">
        <f aca="false">IF(A190="","",IFERROR(CHOOSE(SUMPRODUCT((A190&gt;=Calendari!$B$2:$B$6)*(A190&lt;=Calendari!$C$2:$C$6)*{1,2,3,4,5}),"P1","P2","P3","P4","P5"),""))</f>
        <v/>
      </c>
      <c r="I190" s="0" t="n">
        <f aca="false">IF(F190="",0,IFERROR(VALUE(LEFT(TRIM(F190),FIND(" ",TRIM(F190))-1)),0))</f>
        <v>0</v>
      </c>
    </row>
    <row r="191" customFormat="false" ht="15.75" hidden="false" customHeight="false" outlineLevel="0" collapsed="false">
      <c r="H191" s="0" t="str">
        <f aca="false">IF(A191="","",IFERROR(CHOOSE(SUMPRODUCT((A191&gt;=Calendari!$B$2:$B$6)*(A191&lt;=Calendari!$C$2:$C$6)*{1,2,3,4,5}),"P1","P2","P3","P4","P5"),""))</f>
        <v/>
      </c>
      <c r="I191" s="0" t="n">
        <f aca="false">IF(F191="",0,IFERROR(VALUE(LEFT(TRIM(F191),FIND(" ",TRIM(F191))-1)),0))</f>
        <v>0</v>
      </c>
    </row>
    <row r="192" customFormat="false" ht="15.75" hidden="false" customHeight="false" outlineLevel="0" collapsed="false">
      <c r="H192" s="0" t="str">
        <f aca="false">IF(A192="","",IFERROR(CHOOSE(SUMPRODUCT((A192&gt;=Calendari!$B$2:$B$6)*(A192&lt;=Calendari!$C$2:$C$6)*{1,2,3,4,5}),"P1","P2","P3","P4","P5"),""))</f>
        <v/>
      </c>
      <c r="I192" s="0" t="n">
        <f aca="false">IF(F192="",0,IFERROR(VALUE(LEFT(TRIM(F192),FIND(" ",TRIM(F192))-1)),0))</f>
        <v>0</v>
      </c>
    </row>
    <row r="193" customFormat="false" ht="15.75" hidden="false" customHeight="false" outlineLevel="0" collapsed="false">
      <c r="H193" s="0" t="str">
        <f aca="false">IF(A193="","",IFERROR(CHOOSE(SUMPRODUCT((A193&gt;=Calendari!$B$2:$B$6)*(A193&lt;=Calendari!$C$2:$C$6)*{1,2,3,4,5}),"P1","P2","P3","P4","P5"),""))</f>
        <v/>
      </c>
      <c r="I193" s="0" t="n">
        <f aca="false">IF(F193="",0,IFERROR(VALUE(LEFT(TRIM(F193),FIND(" ",TRIM(F193))-1)),0))</f>
        <v>0</v>
      </c>
    </row>
    <row r="194" customFormat="false" ht="15.75" hidden="false" customHeight="false" outlineLevel="0" collapsed="false">
      <c r="H194" s="0" t="str">
        <f aca="false">IF(A194="","",IFERROR(CHOOSE(SUMPRODUCT((A194&gt;=Calendari!$B$2:$B$6)*(A194&lt;=Calendari!$C$2:$C$6)*{1,2,3,4,5}),"P1","P2","P3","P4","P5"),""))</f>
        <v/>
      </c>
      <c r="I194" s="0" t="n">
        <f aca="false">IF(F194="",0,IFERROR(VALUE(LEFT(TRIM(F194),FIND(" ",TRIM(F194))-1)),0))</f>
        <v>0</v>
      </c>
    </row>
    <row r="195" customFormat="false" ht="15.75" hidden="false" customHeight="false" outlineLevel="0" collapsed="false">
      <c r="H195" s="0" t="str">
        <f aca="false">IF(A195="","",IFERROR(CHOOSE(SUMPRODUCT((A195&gt;=Calendari!$B$2:$B$6)*(A195&lt;=Calendari!$C$2:$C$6)*{1,2,3,4,5}),"P1","P2","P3","P4","P5"),""))</f>
        <v/>
      </c>
      <c r="I195" s="0" t="n">
        <f aca="false">IF(F195="",0,IFERROR(VALUE(LEFT(TRIM(F195),FIND(" ",TRIM(F195))-1)),0))</f>
        <v>0</v>
      </c>
    </row>
    <row r="196" customFormat="false" ht="15.75" hidden="false" customHeight="false" outlineLevel="0" collapsed="false">
      <c r="H196" s="0" t="str">
        <f aca="false">IF(A196="","",IFERROR(CHOOSE(SUMPRODUCT((A196&gt;=Calendari!$B$2:$B$6)*(A196&lt;=Calendari!$C$2:$C$6)*{1,2,3,4,5}),"P1","P2","P3","P4","P5"),""))</f>
        <v/>
      </c>
      <c r="I196" s="0" t="n">
        <f aca="false">IF(F196="",0,IFERROR(VALUE(LEFT(TRIM(F196),FIND(" ",TRIM(F196))-1)),0))</f>
        <v>0</v>
      </c>
    </row>
    <row r="197" customFormat="false" ht="15.75" hidden="false" customHeight="false" outlineLevel="0" collapsed="false">
      <c r="H197" s="0" t="str">
        <f aca="false">IF(A197="","",IFERROR(CHOOSE(SUMPRODUCT((A197&gt;=Calendari!$B$2:$B$6)*(A197&lt;=Calendari!$C$2:$C$6)*{1,2,3,4,5}),"P1","P2","P3","P4","P5"),""))</f>
        <v/>
      </c>
      <c r="I197" s="0" t="n">
        <f aca="false">IF(F197="",0,IFERROR(VALUE(LEFT(TRIM(F197),FIND(" ",TRIM(F197))-1)),0))</f>
        <v>0</v>
      </c>
    </row>
    <row r="198" customFormat="false" ht="15.75" hidden="false" customHeight="false" outlineLevel="0" collapsed="false">
      <c r="H198" s="0" t="str">
        <f aca="false">IF(A198="","",IFERROR(CHOOSE(SUMPRODUCT((A198&gt;=Calendari!$B$2:$B$6)*(A198&lt;=Calendari!$C$2:$C$6)*{1,2,3,4,5}),"P1","P2","P3","P4","P5"),""))</f>
        <v/>
      </c>
      <c r="I198" s="0" t="n">
        <f aca="false">IF(F198="",0,IFERROR(VALUE(LEFT(TRIM(F198),FIND(" ",TRIM(F198))-1)),0))</f>
        <v>0</v>
      </c>
    </row>
    <row r="199" customFormat="false" ht="15.75" hidden="false" customHeight="false" outlineLevel="0" collapsed="false">
      <c r="H199" s="0" t="str">
        <f aca="false">IF(A199="","",IFERROR(CHOOSE(SUMPRODUCT((A199&gt;=Calendari!$B$2:$B$6)*(A199&lt;=Calendari!$C$2:$C$6)*{1,2,3,4,5}),"P1","P2","P3","P4","P5"),""))</f>
        <v/>
      </c>
      <c r="I199" s="0" t="n">
        <f aca="false">IF(F199="",0,IFERROR(VALUE(LEFT(TRIM(F199),FIND(" ",TRIM(F199))-1)),0))</f>
        <v>0</v>
      </c>
    </row>
    <row r="200" customFormat="false" ht="15.75" hidden="false" customHeight="false" outlineLevel="0" collapsed="false">
      <c r="H200" s="0" t="str">
        <f aca="false">IF(A200="","",IFERROR(CHOOSE(SUMPRODUCT((A200&gt;=Calendari!$B$2:$B$6)*(A200&lt;=Calendari!$C$2:$C$6)*{1,2,3,4,5}),"P1","P2","P3","P4","P5"),""))</f>
        <v/>
      </c>
      <c r="I200" s="0" t="n">
        <f aca="false">IF(F200="",0,IFERROR(VALUE(LEFT(TRIM(F200),FIND(" ",TRIM(F200))-1)),0))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1" style="0" width="36.5"/>
  </cols>
  <sheetData>
    <row r="1" customFormat="false" ht="15.75" hidden="false" customHeight="false" outlineLevel="0" collapsed="false">
      <c r="A1" s="1" t="s">
        <v>218</v>
      </c>
      <c r="B1" s="1"/>
      <c r="C1" s="1"/>
    </row>
    <row r="2" customFormat="false" ht="15.75" hidden="false" customHeight="false" outlineLevel="0" collapsed="false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62</v>
      </c>
    </row>
    <row r="3" customFormat="false" ht="15.75" hidden="false" customHeight="false" outlineLevel="0" collapsed="false">
      <c r="A3" s="0" t="s">
        <v>219</v>
      </c>
      <c r="B3" s="0" t="s">
        <v>207</v>
      </c>
      <c r="C3" s="0" t="s">
        <v>220</v>
      </c>
      <c r="D3" s="0" t="n">
        <f aca="false">IF($B3="",0,COUNTIFS(SMIX2DT!$D$2:$D$200,$B3,SMIX2DT!$H$2:$H$200,"P1"))</f>
        <v>0</v>
      </c>
      <c r="E3" s="0" t="n">
        <f aca="false">MAX(0.5,MIN(1.5,1+IF($B3="",0,SUMPRODUCT((SMIX2DT!$D$2:$D$200=$B3)*(SMIX2DT!$H$2:$H$200="P1")*SMIX2DT!$I$2:$I$200*0.01))))</f>
        <v>1</v>
      </c>
      <c r="F3" s="0" t="n">
        <f aca="false">IF($B3="",0,COUNTIFS(SMIX2DT!$D$2:$D$200,$B3,SMIX2DT!$H$2:$H$200,"P2"))</f>
        <v>0</v>
      </c>
      <c r="G3" s="0" t="n">
        <f aca="false">MAX(0.5,MIN(1.5,1+IF($B3="",0,SUMPRODUCT((SMIX2DT!$D$2:$D$200=$B3)*(SMIX2DT!$H$2:$H$200="P2")*SMIX2DT!$I$2:$I$200*0.01))))</f>
        <v>1</v>
      </c>
      <c r="H3" s="0" t="n">
        <f aca="false">IF($B3="",0,COUNTIFS(SMIX2DT!$D$2:$D$200,$B3,SMIX2DT!$H$2:$H$200,"P3"))</f>
        <v>0</v>
      </c>
      <c r="I3" s="0" t="n">
        <f aca="false">MAX(0.5,MIN(1.5,1+IF($B3="",0,SUMPRODUCT((SMIX2DT!$D$2:$D$200=$B3)*(SMIX2DT!$H$2:$H$200="P3")*SMIX2DT!$I$2:$I$200*0.01))))</f>
        <v>1</v>
      </c>
      <c r="J3" s="0" t="n">
        <f aca="false">IF($B3="",0,COUNTIFS(SMIX2DT!$D$2:$D$200,$B3,SMIX2DT!$H$2:$H$200,"P4"))</f>
        <v>0</v>
      </c>
      <c r="K3" s="0" t="n">
        <f aca="false">MAX(0.5,MIN(1.5,1+IF($B3="",0,SUMPRODUCT((SMIX2DT!$D$2:$D$200=$B3)*(SMIX2DT!$H$2:$H$200="P4")*SMIX2DT!$I$2:$I$200*0.01))))</f>
        <v>1</v>
      </c>
      <c r="L3" s="0" t="n">
        <f aca="false">IF($B3="",0,COUNTIFS(SMIX2DT!$D$2:$D$200,$B3,SMIX2DT!$H$2:$H$200,"P5"))</f>
        <v>0</v>
      </c>
      <c r="M3" s="0" t="n">
        <f aca="false">MAX(0.5,MIN(1.5,1+IF($B3="",0,SUMPRODUCT((SMIX2DT!$D$2:$D$200=$B3)*(SMIX2DT!$H$2:$H$200="P5")*SMIX2DT!$I$2:$I$200*0.01))))</f>
        <v>1</v>
      </c>
      <c r="N3" s="0" t="n">
        <f aca="false">IF($B3="",0,IFERROR(SUMPRODUCT((SMIX2DT!$D$2:$D$200=$B3)*SMIX2DT!$I$2:$I$200),0))</f>
        <v>3</v>
      </c>
      <c r="O3" s="0" t="n">
        <f aca="false">D3+F3+H3+J3+L3</f>
        <v>0</v>
      </c>
    </row>
    <row r="4" customFormat="false" ht="15.75" hidden="false" customHeight="false" outlineLevel="0" collapsed="false">
      <c r="A4" s="0" t="s">
        <v>221</v>
      </c>
      <c r="B4" s="0" t="s">
        <v>210</v>
      </c>
      <c r="C4" s="0" t="s">
        <v>222</v>
      </c>
      <c r="D4" s="0" t="n">
        <f aca="false">IF($B4="",0,COUNTIFS(SMIX2DT!$D$2:$D$200,$B4,SMIX2DT!$H$2:$H$200,"P1"))</f>
        <v>0</v>
      </c>
      <c r="E4" s="0" t="n">
        <f aca="false">MAX(0.5,MIN(1.5,1+IF($B4="",0,SUMPRODUCT((SMIX2DT!$D$2:$D$200=$B4)*(SMIX2DT!$H$2:$H$200="P1")*SMIX2DT!$I$2:$I$200*0.01))))</f>
        <v>1</v>
      </c>
      <c r="F4" s="0" t="n">
        <f aca="false">IF($B4="",0,COUNTIFS(SMIX2DT!$D$2:$D$200,$B4,SMIX2DT!$H$2:$H$200,"P2"))</f>
        <v>0</v>
      </c>
      <c r="G4" s="0" t="n">
        <f aca="false">MAX(0.5,MIN(1.5,1+IF($B4="",0,SUMPRODUCT((SMIX2DT!$D$2:$D$200=$B4)*(SMIX2DT!$H$2:$H$200="P2")*SMIX2DT!$I$2:$I$200*0.01))))</f>
        <v>1</v>
      </c>
      <c r="H4" s="0" t="n">
        <f aca="false">IF($B4="",0,COUNTIFS(SMIX2DT!$D$2:$D$200,$B4,SMIX2DT!$H$2:$H$200,"P3"))</f>
        <v>0</v>
      </c>
      <c r="I4" s="0" t="n">
        <f aca="false">MAX(0.5,MIN(1.5,1+IF($B4="",0,SUMPRODUCT((SMIX2DT!$D$2:$D$200=$B4)*(SMIX2DT!$H$2:$H$200="P3")*SMIX2DT!$I$2:$I$200*0.01))))</f>
        <v>1</v>
      </c>
      <c r="J4" s="0" t="n">
        <f aca="false">IF($B4="",0,COUNTIFS(SMIX2DT!$D$2:$D$200,$B4,SMIX2DT!$H$2:$H$200,"P4"))</f>
        <v>0</v>
      </c>
      <c r="K4" s="0" t="n">
        <f aca="false">MAX(0.5,MIN(1.5,1+IF($B4="",0,SUMPRODUCT((SMIX2DT!$D$2:$D$200=$B4)*(SMIX2DT!$H$2:$H$200="P4")*SMIX2DT!$I$2:$I$200*0.01))))</f>
        <v>1</v>
      </c>
      <c r="L4" s="0" t="n">
        <f aca="false">IF($B4="",0,COUNTIFS(SMIX2DT!$D$2:$D$200,$B4,SMIX2DT!$H$2:$H$200,"P5"))</f>
        <v>0</v>
      </c>
      <c r="M4" s="0" t="n">
        <f aca="false">MAX(0.5,MIN(1.5,1+IF($B4="",0,SUMPRODUCT((SMIX2DT!$D$2:$D$200=$B4)*(SMIX2DT!$H$2:$H$200="P5")*SMIX2DT!$I$2:$I$200*0.01))))</f>
        <v>1</v>
      </c>
      <c r="N4" s="0" t="n">
        <f aca="false">IF($B4="",0,IFERROR(SUMPRODUCT((SMIX2DT!$D$2:$D$200=$B4)*SMIX2DT!$I$2:$I$200),0))</f>
        <v>-2</v>
      </c>
      <c r="O4" s="0" t="n">
        <f aca="false">D4+F4+H4+J4+L4</f>
        <v>0</v>
      </c>
    </row>
    <row r="5" customFormat="false" ht="15.75" hidden="false" customHeight="false" outlineLevel="0" collapsed="false">
      <c r="A5" s="0" t="s">
        <v>223</v>
      </c>
      <c r="B5" s="0" t="s">
        <v>195</v>
      </c>
      <c r="C5" s="0" t="s">
        <v>224</v>
      </c>
      <c r="D5" s="0" t="n">
        <f aca="false">IF($B5="",0,COUNTIFS(SMIX2DT!$D$2:$D$200,$B5,SMIX2DT!$H$2:$H$200,"P1"))</f>
        <v>0</v>
      </c>
      <c r="E5" s="0" t="n">
        <f aca="false">MAX(0.5,MIN(1.5,1+IF($B5="",0,SUMPRODUCT((SMIX2DT!$D$2:$D$200=$B5)*(SMIX2DT!$H$2:$H$200="P1")*SMIX2DT!$I$2:$I$200*0.01))))</f>
        <v>1</v>
      </c>
      <c r="F5" s="0" t="n">
        <f aca="false">IF($B5="",0,COUNTIFS(SMIX2DT!$D$2:$D$200,$B5,SMIX2DT!$H$2:$H$200,"P2"))</f>
        <v>0</v>
      </c>
      <c r="G5" s="0" t="n">
        <f aca="false">MAX(0.5,MIN(1.5,1+IF($B5="",0,SUMPRODUCT((SMIX2DT!$D$2:$D$200=$B5)*(SMIX2DT!$H$2:$H$200="P2")*SMIX2DT!$I$2:$I$200*0.01))))</f>
        <v>1</v>
      </c>
      <c r="H5" s="0" t="n">
        <f aca="false">IF($B5="",0,COUNTIFS(SMIX2DT!$D$2:$D$200,$B5,SMIX2DT!$H$2:$H$200,"P3"))</f>
        <v>0</v>
      </c>
      <c r="I5" s="0" t="n">
        <f aca="false">MAX(0.5,MIN(1.5,1+IF($B5="",0,SUMPRODUCT((SMIX2DT!$D$2:$D$200=$B5)*(SMIX2DT!$H$2:$H$200="P3")*SMIX2DT!$I$2:$I$200*0.01))))</f>
        <v>1</v>
      </c>
      <c r="J5" s="0" t="n">
        <f aca="false">IF($B5="",0,COUNTIFS(SMIX2DT!$D$2:$D$200,$B5,SMIX2DT!$H$2:$H$200,"P4"))</f>
        <v>0</v>
      </c>
      <c r="K5" s="0" t="n">
        <f aca="false">MAX(0.5,MIN(1.5,1+IF($B5="",0,SUMPRODUCT((SMIX2DT!$D$2:$D$200=$B5)*(SMIX2DT!$H$2:$H$200="P4")*SMIX2DT!$I$2:$I$200*0.01))))</f>
        <v>1</v>
      </c>
      <c r="L5" s="0" t="n">
        <f aca="false">IF($B5="",0,COUNTIFS(SMIX2DT!$D$2:$D$200,$B5,SMIX2DT!$H$2:$H$200,"P5"))</f>
        <v>0</v>
      </c>
      <c r="M5" s="0" t="n">
        <f aca="false">MAX(0.5,MIN(1.5,1+IF($B5="",0,SUMPRODUCT((SMIX2DT!$D$2:$D$200=$B5)*(SMIX2DT!$H$2:$H$200="P5")*SMIX2DT!$I$2:$I$200*0.01))))</f>
        <v>1</v>
      </c>
      <c r="N5" s="0" t="n">
        <f aca="false">IF($B5="",0,IFERROR(SUMPRODUCT((SMIX2DT!$D$2:$D$200=$B5)*SMIX2DT!$I$2:$I$200),0))</f>
        <v>1</v>
      </c>
      <c r="O5" s="0" t="n">
        <f aca="false">D5+F5+H5+J5+L5</f>
        <v>0</v>
      </c>
    </row>
    <row r="6" customFormat="false" ht="15.75" hidden="false" customHeight="false" outlineLevel="0" collapsed="false">
      <c r="A6" s="0" t="s">
        <v>225</v>
      </c>
      <c r="C6" s="0" t="s">
        <v>226</v>
      </c>
      <c r="D6" s="0" t="n">
        <f aca="false">IF($B6="",0,COUNTIFS(SMIX2DT!$D$2:$D$200,$B6,SMIX2DT!$H$2:$H$200,"P1"))</f>
        <v>0</v>
      </c>
      <c r="E6" s="0" t="n">
        <f aca="false">MAX(0.5,MIN(1.5,1+IF($B6="",0,SUMPRODUCT((SMIX2DT!$D$2:$D$200=$B6)*(SMIX2DT!$H$2:$H$200="P1")*SMIX2DT!$I$2:$I$200*0.01))))</f>
        <v>1</v>
      </c>
      <c r="F6" s="0" t="n">
        <f aca="false">IF($B6="",0,COUNTIFS(SMIX2DT!$D$2:$D$200,$B6,SMIX2DT!$H$2:$H$200,"P2"))</f>
        <v>0</v>
      </c>
      <c r="G6" s="0" t="n">
        <f aca="false">MAX(0.5,MIN(1.5,1+IF($B6="",0,SUMPRODUCT((SMIX2DT!$D$2:$D$200=$B6)*(SMIX2DT!$H$2:$H$200="P2")*SMIX2DT!$I$2:$I$200*0.01))))</f>
        <v>1</v>
      </c>
      <c r="H6" s="0" t="n">
        <f aca="false">IF($B6="",0,COUNTIFS(SMIX2DT!$D$2:$D$200,$B6,SMIX2DT!$H$2:$H$200,"P3"))</f>
        <v>0</v>
      </c>
      <c r="I6" s="0" t="n">
        <f aca="false">MAX(0.5,MIN(1.5,1+IF($B6="",0,SUMPRODUCT((SMIX2DT!$D$2:$D$200=$B6)*(SMIX2DT!$H$2:$H$200="P3")*SMIX2DT!$I$2:$I$200*0.01))))</f>
        <v>1</v>
      </c>
      <c r="J6" s="0" t="n">
        <f aca="false">IF($B6="",0,COUNTIFS(SMIX2DT!$D$2:$D$200,$B6,SMIX2DT!$H$2:$H$200,"P4"))</f>
        <v>0</v>
      </c>
      <c r="K6" s="0" t="n">
        <f aca="false">MAX(0.5,MIN(1.5,1+IF($B6="",0,SUMPRODUCT((SMIX2DT!$D$2:$D$200=$B6)*(SMIX2DT!$H$2:$H$200="P4")*SMIX2DT!$I$2:$I$200*0.01))))</f>
        <v>1</v>
      </c>
      <c r="L6" s="0" t="n">
        <f aca="false">IF($B6="",0,COUNTIFS(SMIX2DT!$D$2:$D$200,$B6,SMIX2DT!$H$2:$H$200,"P5"))</f>
        <v>0</v>
      </c>
      <c r="M6" s="0" t="n">
        <f aca="false">MAX(0.5,MIN(1.5,1+IF($B6="",0,SUMPRODUCT((SMIX2DT!$D$2:$D$200=$B6)*(SMIX2DT!$H$2:$H$200="P5")*SMIX2DT!$I$2:$I$200*0.01))))</f>
        <v>1</v>
      </c>
      <c r="N6" s="0" t="n">
        <f aca="false">IF($B6="",0,IFERROR(SUMPRODUCT((SMIX2DT!$D$2:$D$200=$B6)*SMIX2DT!$I$2:$I$200),0))</f>
        <v>0</v>
      </c>
      <c r="O6" s="0" t="n">
        <f aca="false">D6+F6+H6+J6+L6</f>
        <v>0</v>
      </c>
    </row>
    <row r="7" customFormat="false" ht="15.75" hidden="false" customHeight="false" outlineLevel="0" collapsed="false">
      <c r="A7" s="0" t="s">
        <v>227</v>
      </c>
      <c r="B7" s="0" t="s">
        <v>206</v>
      </c>
      <c r="C7" s="0" t="s">
        <v>228</v>
      </c>
      <c r="D7" s="0" t="n">
        <f aca="false">IF($B7="",0,COUNTIFS(SMIX2DT!$D$2:$D$200,$B7,SMIX2DT!$H$2:$H$200,"P1"))</f>
        <v>0</v>
      </c>
      <c r="E7" s="0" t="n">
        <f aca="false">MAX(0.5,MIN(1.5,1+IF($B7="",0,SUMPRODUCT((SMIX2DT!$D$2:$D$200=$B7)*(SMIX2DT!$H$2:$H$200="P1")*SMIX2DT!$I$2:$I$200*0.01))))</f>
        <v>1</v>
      </c>
      <c r="F7" s="0" t="n">
        <f aca="false">IF($B7="",0,COUNTIFS(SMIX2DT!$D$2:$D$200,$B7,SMIX2DT!$H$2:$H$200,"P2"))</f>
        <v>0</v>
      </c>
      <c r="G7" s="0" t="n">
        <f aca="false">MAX(0.5,MIN(1.5,1+IF($B7="",0,SUMPRODUCT((SMIX2DT!$D$2:$D$200=$B7)*(SMIX2DT!$H$2:$H$200="P2")*SMIX2DT!$I$2:$I$200*0.01))))</f>
        <v>1</v>
      </c>
      <c r="H7" s="0" t="n">
        <f aca="false">IF($B7="",0,COUNTIFS(SMIX2DT!$D$2:$D$200,$B7,SMIX2DT!$H$2:$H$200,"P3"))</f>
        <v>0</v>
      </c>
      <c r="I7" s="0" t="n">
        <f aca="false">MAX(0.5,MIN(1.5,1+IF($B7="",0,SUMPRODUCT((SMIX2DT!$D$2:$D$200=$B7)*(SMIX2DT!$H$2:$H$200="P3")*SMIX2DT!$I$2:$I$200*0.01))))</f>
        <v>1</v>
      </c>
      <c r="J7" s="0" t="n">
        <f aca="false">IF($B7="",0,COUNTIFS(SMIX2DT!$D$2:$D$200,$B7,SMIX2DT!$H$2:$H$200,"P4"))</f>
        <v>0</v>
      </c>
      <c r="K7" s="0" t="n">
        <f aca="false">MAX(0.5,MIN(1.5,1+IF($B7="",0,SUMPRODUCT((SMIX2DT!$D$2:$D$200=$B7)*(SMIX2DT!$H$2:$H$200="P4")*SMIX2DT!$I$2:$I$200*0.01))))</f>
        <v>1</v>
      </c>
      <c r="L7" s="0" t="n">
        <f aca="false">IF($B7="",0,COUNTIFS(SMIX2DT!$D$2:$D$200,$B7,SMIX2DT!$H$2:$H$200,"P5"))</f>
        <v>0</v>
      </c>
      <c r="M7" s="0" t="n">
        <f aca="false">MAX(0.5,MIN(1.5,1+IF($B7="",0,SUMPRODUCT((SMIX2DT!$D$2:$D$200=$B7)*(SMIX2DT!$H$2:$H$200="P5")*SMIX2DT!$I$2:$I$200*0.01))))</f>
        <v>1</v>
      </c>
      <c r="N7" s="0" t="n">
        <f aca="false">IF($B7="",0,IFERROR(SUMPRODUCT((SMIX2DT!$D$2:$D$200=$B7)*SMIX2DT!$I$2:$I$200),0))</f>
        <v>1</v>
      </c>
      <c r="O7" s="0" t="n">
        <f aca="false">D7+F7+H7+J7+L7</f>
        <v>0</v>
      </c>
    </row>
    <row r="8" customFormat="false" ht="15.75" hidden="false" customHeight="false" outlineLevel="0" collapsed="false">
      <c r="A8" s="0" t="s">
        <v>229</v>
      </c>
      <c r="C8" s="0" t="s">
        <v>230</v>
      </c>
      <c r="D8" s="0" t="n">
        <f aca="false">IF($B8="",0,COUNTIFS(SMIX2DT!$D$2:$D$200,$B8,SMIX2DT!$H$2:$H$200,"P1"))</f>
        <v>0</v>
      </c>
      <c r="E8" s="0" t="n">
        <f aca="false">MAX(0.5,MIN(1.5,1+IF($B8="",0,SUMPRODUCT((SMIX2DT!$D$2:$D$200=$B8)*(SMIX2DT!$H$2:$H$200="P1")*SMIX2DT!$I$2:$I$200*0.01))))</f>
        <v>1</v>
      </c>
      <c r="F8" s="0" t="n">
        <f aca="false">IF($B8="",0,COUNTIFS(SMIX2DT!$D$2:$D$200,$B8,SMIX2DT!$H$2:$H$200,"P2"))</f>
        <v>0</v>
      </c>
      <c r="G8" s="0" t="n">
        <f aca="false">MAX(0.5,MIN(1.5,1+IF($B8="",0,SUMPRODUCT((SMIX2DT!$D$2:$D$200=$B8)*(SMIX2DT!$H$2:$H$200="P2")*SMIX2DT!$I$2:$I$200*0.01))))</f>
        <v>1</v>
      </c>
      <c r="H8" s="0" t="n">
        <f aca="false">IF($B8="",0,COUNTIFS(SMIX2DT!$D$2:$D$200,$B8,SMIX2DT!$H$2:$H$200,"P3"))</f>
        <v>0</v>
      </c>
      <c r="I8" s="0" t="n">
        <f aca="false">MAX(0.5,MIN(1.5,1+IF($B8="",0,SUMPRODUCT((SMIX2DT!$D$2:$D$200=$B8)*(SMIX2DT!$H$2:$H$200="P3")*SMIX2DT!$I$2:$I$200*0.01))))</f>
        <v>1</v>
      </c>
      <c r="J8" s="0" t="n">
        <f aca="false">IF($B8="",0,COUNTIFS(SMIX2DT!$D$2:$D$200,$B8,SMIX2DT!$H$2:$H$200,"P4"))</f>
        <v>0</v>
      </c>
      <c r="K8" s="0" t="n">
        <f aca="false">MAX(0.5,MIN(1.5,1+IF($B8="",0,SUMPRODUCT((SMIX2DT!$D$2:$D$200=$B8)*(SMIX2DT!$H$2:$H$200="P4")*SMIX2DT!$I$2:$I$200*0.01))))</f>
        <v>1</v>
      </c>
      <c r="L8" s="0" t="n">
        <f aca="false">IF($B8="",0,COUNTIFS(SMIX2DT!$D$2:$D$200,$B8,SMIX2DT!$H$2:$H$200,"P5"))</f>
        <v>0</v>
      </c>
      <c r="M8" s="0" t="n">
        <f aca="false">MAX(0.5,MIN(1.5,1+IF($B8="",0,SUMPRODUCT((SMIX2DT!$D$2:$D$200=$B8)*(SMIX2DT!$H$2:$H$200="P5")*SMIX2DT!$I$2:$I$200*0.01))))</f>
        <v>1</v>
      </c>
      <c r="N8" s="0" t="n">
        <f aca="false">IF($B8="",0,IFERROR(SUMPRODUCT((SMIX2DT!$D$2:$D$200=$B8)*SMIX2DT!$I$2:$I$200),0))</f>
        <v>0</v>
      </c>
      <c r="O8" s="0" t="n">
        <f aca="false">D8+F8+H8+J8+L8</f>
        <v>0</v>
      </c>
    </row>
    <row r="9" customFormat="false" ht="15.75" hidden="false" customHeight="false" outlineLevel="0" collapsed="false">
      <c r="A9" s="0" t="s">
        <v>231</v>
      </c>
      <c r="B9" s="0" t="s">
        <v>197</v>
      </c>
      <c r="C9" s="0" t="s">
        <v>232</v>
      </c>
      <c r="D9" s="0" t="n">
        <f aca="false">IF($B9="",0,COUNTIFS(SMIX2DT!$D$2:$D$200,$B9,SMIX2DT!$H$2:$H$200,"P1"))</f>
        <v>0</v>
      </c>
      <c r="E9" s="0" t="n">
        <f aca="false">MAX(0.5,MIN(1.5,1+IF($B9="",0,SUMPRODUCT((SMIX2DT!$D$2:$D$200=$B9)*(SMIX2DT!$H$2:$H$200="P1")*SMIX2DT!$I$2:$I$200*0.01))))</f>
        <v>1</v>
      </c>
      <c r="F9" s="0" t="n">
        <f aca="false">IF($B9="",0,COUNTIFS(SMIX2DT!$D$2:$D$200,$B9,SMIX2DT!$H$2:$H$200,"P2"))</f>
        <v>0</v>
      </c>
      <c r="G9" s="0" t="n">
        <f aca="false">MAX(0.5,MIN(1.5,1+IF($B9="",0,SUMPRODUCT((SMIX2DT!$D$2:$D$200=$B9)*(SMIX2DT!$H$2:$H$200="P2")*SMIX2DT!$I$2:$I$200*0.01))))</f>
        <v>1</v>
      </c>
      <c r="H9" s="0" t="n">
        <f aca="false">IF($B9="",0,COUNTIFS(SMIX2DT!$D$2:$D$200,$B9,SMIX2DT!$H$2:$H$200,"P3"))</f>
        <v>0</v>
      </c>
      <c r="I9" s="0" t="n">
        <f aca="false">MAX(0.5,MIN(1.5,1+IF($B9="",0,SUMPRODUCT((SMIX2DT!$D$2:$D$200=$B9)*(SMIX2DT!$H$2:$H$200="P3")*SMIX2DT!$I$2:$I$200*0.01))))</f>
        <v>1</v>
      </c>
      <c r="J9" s="0" t="n">
        <f aca="false">IF($B9="",0,COUNTIFS(SMIX2DT!$D$2:$D$200,$B9,SMIX2DT!$H$2:$H$200,"P4"))</f>
        <v>0</v>
      </c>
      <c r="K9" s="0" t="n">
        <f aca="false">MAX(0.5,MIN(1.5,1+IF($B9="",0,SUMPRODUCT((SMIX2DT!$D$2:$D$200=$B9)*(SMIX2DT!$H$2:$H$200="P4")*SMIX2DT!$I$2:$I$200*0.01))))</f>
        <v>1</v>
      </c>
      <c r="L9" s="0" t="n">
        <f aca="false">IF($B9="",0,COUNTIFS(SMIX2DT!$D$2:$D$200,$B9,SMIX2DT!$H$2:$H$200,"P5"))</f>
        <v>0</v>
      </c>
      <c r="M9" s="0" t="n">
        <f aca="false">MAX(0.5,MIN(1.5,1+IF($B9="",0,SUMPRODUCT((SMIX2DT!$D$2:$D$200=$B9)*(SMIX2DT!$H$2:$H$200="P5")*SMIX2DT!$I$2:$I$200*0.01))))</f>
        <v>1</v>
      </c>
      <c r="N9" s="0" t="n">
        <f aca="false">IF($B9="",0,IFERROR(SUMPRODUCT((SMIX2DT!$D$2:$D$200=$B9)*SMIX2DT!$I$2:$I$200),0))</f>
        <v>1</v>
      </c>
      <c r="O9" s="0" t="n">
        <f aca="false">D9+F9+H9+J9+L9</f>
        <v>0</v>
      </c>
    </row>
    <row r="10" customFormat="false" ht="15.75" hidden="false" customHeight="false" outlineLevel="0" collapsed="false">
      <c r="A10" s="0" t="s">
        <v>233</v>
      </c>
      <c r="B10" s="0" t="s">
        <v>213</v>
      </c>
      <c r="C10" s="0" t="s">
        <v>234</v>
      </c>
      <c r="D10" s="0" t="n">
        <f aca="false">IF($B10="",0,COUNTIFS(SMIX2DT!$D$2:$D$200,$B10,SMIX2DT!$H$2:$H$200,"P1"))</f>
        <v>0</v>
      </c>
      <c r="E10" s="0" t="n">
        <f aca="false">MAX(0.5,MIN(1.5,1+IF($B10="",0,SUMPRODUCT((SMIX2DT!$D$2:$D$200=$B10)*(SMIX2DT!$H$2:$H$200="P1")*SMIX2DT!$I$2:$I$200*0.01))))</f>
        <v>1</v>
      </c>
      <c r="F10" s="0" t="n">
        <f aca="false">IF($B10="",0,COUNTIFS(SMIX2DT!$D$2:$D$200,$B10,SMIX2DT!$H$2:$H$200,"P2"))</f>
        <v>0</v>
      </c>
      <c r="G10" s="0" t="n">
        <f aca="false">MAX(0.5,MIN(1.5,1+IF($B10="",0,SUMPRODUCT((SMIX2DT!$D$2:$D$200=$B10)*(SMIX2DT!$H$2:$H$200="P2")*SMIX2DT!$I$2:$I$200*0.01))))</f>
        <v>1</v>
      </c>
      <c r="H10" s="0" t="n">
        <f aca="false">IF($B10="",0,COUNTIFS(SMIX2DT!$D$2:$D$200,$B10,SMIX2DT!$H$2:$H$200,"P3"))</f>
        <v>0</v>
      </c>
      <c r="I10" s="0" t="n">
        <f aca="false">MAX(0.5,MIN(1.5,1+IF($B10="",0,SUMPRODUCT((SMIX2DT!$D$2:$D$200=$B10)*(SMIX2DT!$H$2:$H$200="P3")*SMIX2DT!$I$2:$I$200*0.01))))</f>
        <v>1</v>
      </c>
      <c r="J10" s="0" t="n">
        <f aca="false">IF($B10="",0,COUNTIFS(SMIX2DT!$D$2:$D$200,$B10,SMIX2DT!$H$2:$H$200,"P4"))</f>
        <v>0</v>
      </c>
      <c r="K10" s="0" t="n">
        <f aca="false">MAX(0.5,MIN(1.5,1+IF($B10="",0,SUMPRODUCT((SMIX2DT!$D$2:$D$200=$B10)*(SMIX2DT!$H$2:$H$200="P4")*SMIX2DT!$I$2:$I$200*0.01))))</f>
        <v>1</v>
      </c>
      <c r="L10" s="0" t="n">
        <f aca="false">IF($B10="",0,COUNTIFS(SMIX2DT!$D$2:$D$200,$B10,SMIX2DT!$H$2:$H$200,"P5"))</f>
        <v>0</v>
      </c>
      <c r="M10" s="0" t="n">
        <f aca="false">MAX(0.5,MIN(1.5,1+IF($B10="",0,SUMPRODUCT((SMIX2DT!$D$2:$D$200=$B10)*(SMIX2DT!$H$2:$H$200="P5")*SMIX2DT!$I$2:$I$200*0.01))))</f>
        <v>1</v>
      </c>
      <c r="N10" s="0" t="n">
        <f aca="false">IF($B10="",0,IFERROR(SUMPRODUCT((SMIX2DT!$D$2:$D$200=$B10)*SMIX2DT!$I$2:$I$200),0))</f>
        <v>-3</v>
      </c>
      <c r="O10" s="0" t="n">
        <f aca="false">D10+F10+H10+J10+L10</f>
        <v>0</v>
      </c>
    </row>
    <row r="11" customFormat="false" ht="15.75" hidden="false" customHeight="false" outlineLevel="0" collapsed="false">
      <c r="A11" s="0" t="s">
        <v>235</v>
      </c>
      <c r="B11" s="0" t="s">
        <v>204</v>
      </c>
      <c r="C11" s="0" t="s">
        <v>236</v>
      </c>
      <c r="D11" s="0" t="n">
        <f aca="false">IF($B11="",0,COUNTIFS(SMIX2DT!$D$2:$D$200,$B11,SMIX2DT!$H$2:$H$200,"P1"))</f>
        <v>0</v>
      </c>
      <c r="E11" s="0" t="n">
        <f aca="false">MAX(0.5,MIN(1.5,1+IF($B11="",0,SUMPRODUCT((SMIX2DT!$D$2:$D$200=$B11)*(SMIX2DT!$H$2:$H$200="P1")*SMIX2DT!$I$2:$I$200*0.01))))</f>
        <v>1</v>
      </c>
      <c r="F11" s="0" t="n">
        <f aca="false">IF($B11="",0,COUNTIFS(SMIX2DT!$D$2:$D$200,$B11,SMIX2DT!$H$2:$H$200,"P2"))</f>
        <v>0</v>
      </c>
      <c r="G11" s="0" t="n">
        <f aca="false">MAX(0.5,MIN(1.5,1+IF($B11="",0,SUMPRODUCT((SMIX2DT!$D$2:$D$200=$B11)*(SMIX2DT!$H$2:$H$200="P2")*SMIX2DT!$I$2:$I$200*0.01))))</f>
        <v>1</v>
      </c>
      <c r="H11" s="0" t="n">
        <f aca="false">IF($B11="",0,COUNTIFS(SMIX2DT!$D$2:$D$200,$B11,SMIX2DT!$H$2:$H$200,"P3"))</f>
        <v>0</v>
      </c>
      <c r="I11" s="0" t="n">
        <f aca="false">MAX(0.5,MIN(1.5,1+IF($B11="",0,SUMPRODUCT((SMIX2DT!$D$2:$D$200=$B11)*(SMIX2DT!$H$2:$H$200="P3")*SMIX2DT!$I$2:$I$200*0.01))))</f>
        <v>1</v>
      </c>
      <c r="J11" s="0" t="n">
        <f aca="false">IF($B11="",0,COUNTIFS(SMIX2DT!$D$2:$D$200,$B11,SMIX2DT!$H$2:$H$200,"P4"))</f>
        <v>0</v>
      </c>
      <c r="K11" s="0" t="n">
        <f aca="false">MAX(0.5,MIN(1.5,1+IF($B11="",0,SUMPRODUCT((SMIX2DT!$D$2:$D$200=$B11)*(SMIX2DT!$H$2:$H$200="P4")*SMIX2DT!$I$2:$I$200*0.01))))</f>
        <v>1</v>
      </c>
      <c r="L11" s="0" t="n">
        <f aca="false">IF($B11="",0,COUNTIFS(SMIX2DT!$D$2:$D$200,$B11,SMIX2DT!$H$2:$H$200,"P5"))</f>
        <v>0</v>
      </c>
      <c r="M11" s="0" t="n">
        <f aca="false">MAX(0.5,MIN(1.5,1+IF($B11="",0,SUMPRODUCT((SMIX2DT!$D$2:$D$200=$B11)*(SMIX2DT!$H$2:$H$200="P5")*SMIX2DT!$I$2:$I$200*0.01))))</f>
        <v>1</v>
      </c>
      <c r="N11" s="0" t="n">
        <f aca="false">IF($B11="",0,IFERROR(SUMPRODUCT((SMIX2DT!$D$2:$D$200=$B11)*SMIX2DT!$I$2:$I$200),0))</f>
        <v>3</v>
      </c>
      <c r="O11" s="0" t="n">
        <f aca="false">D11+F11+H11+J11+L11</f>
        <v>0</v>
      </c>
    </row>
    <row r="12" customFormat="false" ht="15.75" hidden="false" customHeight="false" outlineLevel="0" collapsed="false">
      <c r="A12" s="0" t="s">
        <v>237</v>
      </c>
      <c r="B12" s="0" t="s">
        <v>202</v>
      </c>
      <c r="C12" s="0" t="s">
        <v>238</v>
      </c>
      <c r="D12" s="0" t="n">
        <f aca="false">IF($B12="",0,COUNTIFS(SMIX2DT!$D$2:$D$200,$B12,SMIX2DT!$H$2:$H$200,"P1"))</f>
        <v>0</v>
      </c>
      <c r="E12" s="0" t="n">
        <f aca="false">MAX(0.5,MIN(1.5,1+IF($B12="",0,SUMPRODUCT((SMIX2DT!$D$2:$D$200=$B12)*(SMIX2DT!$H$2:$H$200="P1")*SMIX2DT!$I$2:$I$200*0.01))))</f>
        <v>1</v>
      </c>
      <c r="F12" s="0" t="n">
        <f aca="false">IF($B12="",0,COUNTIFS(SMIX2DT!$D$2:$D$200,$B12,SMIX2DT!$H$2:$H$200,"P2"))</f>
        <v>0</v>
      </c>
      <c r="G12" s="0" t="n">
        <f aca="false">MAX(0.5,MIN(1.5,1+IF($B12="",0,SUMPRODUCT((SMIX2DT!$D$2:$D$200=$B12)*(SMIX2DT!$H$2:$H$200="P2")*SMIX2DT!$I$2:$I$200*0.01))))</f>
        <v>1</v>
      </c>
      <c r="H12" s="0" t="n">
        <f aca="false">IF($B12="",0,COUNTIFS(SMIX2DT!$D$2:$D$200,$B12,SMIX2DT!$H$2:$H$200,"P3"))</f>
        <v>0</v>
      </c>
      <c r="I12" s="0" t="n">
        <f aca="false">MAX(0.5,MIN(1.5,1+IF($B12="",0,SUMPRODUCT((SMIX2DT!$D$2:$D$200=$B12)*(SMIX2DT!$H$2:$H$200="P3")*SMIX2DT!$I$2:$I$200*0.01))))</f>
        <v>1</v>
      </c>
      <c r="J12" s="0" t="n">
        <f aca="false">IF($B12="",0,COUNTIFS(SMIX2DT!$D$2:$D$200,$B12,SMIX2DT!$H$2:$H$200,"P4"))</f>
        <v>0</v>
      </c>
      <c r="K12" s="0" t="n">
        <f aca="false">MAX(0.5,MIN(1.5,1+IF($B12="",0,SUMPRODUCT((SMIX2DT!$D$2:$D$200=$B12)*(SMIX2DT!$H$2:$H$200="P4")*SMIX2DT!$I$2:$I$200*0.01))))</f>
        <v>1</v>
      </c>
      <c r="L12" s="0" t="n">
        <f aca="false">IF($B12="",0,COUNTIFS(SMIX2DT!$D$2:$D$200,$B12,SMIX2DT!$H$2:$H$200,"P5"))</f>
        <v>0</v>
      </c>
      <c r="M12" s="0" t="n">
        <f aca="false">MAX(0.5,MIN(1.5,1+IF($B12="",0,SUMPRODUCT((SMIX2DT!$D$2:$D$200=$B12)*(SMIX2DT!$H$2:$H$200="P5")*SMIX2DT!$I$2:$I$200*0.01))))</f>
        <v>1</v>
      </c>
      <c r="N12" s="0" t="n">
        <f aca="false">IF($B12="",0,IFERROR(SUMPRODUCT((SMIX2DT!$D$2:$D$200=$B12)*SMIX2DT!$I$2:$I$200),0))</f>
        <v>2</v>
      </c>
      <c r="O12" s="0" t="n">
        <f aca="false">D12+F12+H12+J12+L12</f>
        <v>0</v>
      </c>
    </row>
    <row r="13" customFormat="false" ht="15.75" hidden="false" customHeight="false" outlineLevel="0" collapsed="false">
      <c r="A13" s="0" t="s">
        <v>239</v>
      </c>
      <c r="B13" s="0" t="s">
        <v>198</v>
      </c>
      <c r="C13" s="0" t="s">
        <v>240</v>
      </c>
      <c r="D13" s="0" t="n">
        <f aca="false">IF($B13="",0,COUNTIFS(SMIX2DT!$D$2:$D$200,$B13,SMIX2DT!$H$2:$H$200,"P1"))</f>
        <v>0</v>
      </c>
      <c r="E13" s="0" t="n">
        <f aca="false">MAX(0.5,MIN(1.5,1+IF($B13="",0,SUMPRODUCT((SMIX2DT!$D$2:$D$200=$B13)*(SMIX2DT!$H$2:$H$200="P1")*SMIX2DT!$I$2:$I$200*0.01))))</f>
        <v>1</v>
      </c>
      <c r="F13" s="0" t="n">
        <f aca="false">IF($B13="",0,COUNTIFS(SMIX2DT!$D$2:$D$200,$B13,SMIX2DT!$H$2:$H$200,"P2"))</f>
        <v>0</v>
      </c>
      <c r="G13" s="0" t="n">
        <f aca="false">MAX(0.5,MIN(1.5,1+IF($B13="",0,SUMPRODUCT((SMIX2DT!$D$2:$D$200=$B13)*(SMIX2DT!$H$2:$H$200="P2")*SMIX2DT!$I$2:$I$200*0.01))))</f>
        <v>1</v>
      </c>
      <c r="H13" s="0" t="n">
        <f aca="false">IF($B13="",0,COUNTIFS(SMIX2DT!$D$2:$D$200,$B13,SMIX2DT!$H$2:$H$200,"P3"))</f>
        <v>0</v>
      </c>
      <c r="I13" s="0" t="n">
        <f aca="false">MAX(0.5,MIN(1.5,1+IF($B13="",0,SUMPRODUCT((SMIX2DT!$D$2:$D$200=$B13)*(SMIX2DT!$H$2:$H$200="P3")*SMIX2DT!$I$2:$I$200*0.01))))</f>
        <v>1</v>
      </c>
      <c r="J13" s="0" t="n">
        <f aca="false">IF($B13="",0,COUNTIFS(SMIX2DT!$D$2:$D$200,$B13,SMIX2DT!$H$2:$H$200,"P4"))</f>
        <v>0</v>
      </c>
      <c r="K13" s="0" t="n">
        <f aca="false">MAX(0.5,MIN(1.5,1+IF($B13="",0,SUMPRODUCT((SMIX2DT!$D$2:$D$200=$B13)*(SMIX2DT!$H$2:$H$200="P4")*SMIX2DT!$I$2:$I$200*0.01))))</f>
        <v>1</v>
      </c>
      <c r="L13" s="0" t="n">
        <f aca="false">IF($B13="",0,COUNTIFS(SMIX2DT!$D$2:$D$200,$B13,SMIX2DT!$H$2:$H$200,"P5"))</f>
        <v>0</v>
      </c>
      <c r="M13" s="0" t="n">
        <f aca="false">MAX(0.5,MIN(1.5,1+IF($B13="",0,SUMPRODUCT((SMIX2DT!$D$2:$D$200=$B13)*(SMIX2DT!$H$2:$H$200="P5")*SMIX2DT!$I$2:$I$200*0.01))))</f>
        <v>1</v>
      </c>
      <c r="N13" s="0" t="n">
        <f aca="false">IF($B13="",0,IFERROR(SUMPRODUCT((SMIX2DT!$D$2:$D$200=$B13)*SMIX2DT!$I$2:$I$200),0))</f>
        <v>1</v>
      </c>
      <c r="O13" s="0" t="n">
        <f aca="false">D13+F13+H13+J13+L13</f>
        <v>0</v>
      </c>
    </row>
    <row r="14" customFormat="false" ht="15.75" hidden="false" customHeight="false" outlineLevel="0" collapsed="false">
      <c r="A14" s="0" t="s">
        <v>241</v>
      </c>
      <c r="B14" s="0" t="s">
        <v>199</v>
      </c>
      <c r="C14" s="0" t="s">
        <v>242</v>
      </c>
      <c r="D14" s="0" t="n">
        <f aca="false">IF($B14="",0,COUNTIFS(SMIX2DT!$D$2:$D$200,$B14,SMIX2DT!$H$2:$H$200,"P1"))</f>
        <v>0</v>
      </c>
      <c r="E14" s="0" t="n">
        <f aca="false">MAX(0.5,MIN(1.5,1+IF($B14="",0,SUMPRODUCT((SMIX2DT!$D$2:$D$200=$B14)*(SMIX2DT!$H$2:$H$200="P1")*SMIX2DT!$I$2:$I$200*0.01))))</f>
        <v>1</v>
      </c>
      <c r="F14" s="0" t="n">
        <f aca="false">IF($B14="",0,COUNTIFS(SMIX2DT!$D$2:$D$200,$B14,SMIX2DT!$H$2:$H$200,"P2"))</f>
        <v>0</v>
      </c>
      <c r="G14" s="0" t="n">
        <f aca="false">MAX(0.5,MIN(1.5,1+IF($B14="",0,SUMPRODUCT((SMIX2DT!$D$2:$D$200=$B14)*(SMIX2DT!$H$2:$H$200="P2")*SMIX2DT!$I$2:$I$200*0.01))))</f>
        <v>1</v>
      </c>
      <c r="H14" s="0" t="n">
        <f aca="false">IF($B14="",0,COUNTIFS(SMIX2DT!$D$2:$D$200,$B14,SMIX2DT!$H$2:$H$200,"P3"))</f>
        <v>0</v>
      </c>
      <c r="I14" s="0" t="n">
        <f aca="false">MAX(0.5,MIN(1.5,1+IF($B14="",0,SUMPRODUCT((SMIX2DT!$D$2:$D$200=$B14)*(SMIX2DT!$H$2:$H$200="P3")*SMIX2DT!$I$2:$I$200*0.01))))</f>
        <v>1</v>
      </c>
      <c r="J14" s="0" t="n">
        <f aca="false">IF($B14="",0,COUNTIFS(SMIX2DT!$D$2:$D$200,$B14,SMIX2DT!$H$2:$H$200,"P4"))</f>
        <v>0</v>
      </c>
      <c r="K14" s="0" t="n">
        <f aca="false">MAX(0.5,MIN(1.5,1+IF($B14="",0,SUMPRODUCT((SMIX2DT!$D$2:$D$200=$B14)*(SMIX2DT!$H$2:$H$200="P4")*SMIX2DT!$I$2:$I$200*0.01))))</f>
        <v>1</v>
      </c>
      <c r="L14" s="0" t="n">
        <f aca="false">IF($B14="",0,COUNTIFS(SMIX2DT!$D$2:$D$200,$B14,SMIX2DT!$H$2:$H$200,"P5"))</f>
        <v>0</v>
      </c>
      <c r="M14" s="0" t="n">
        <f aca="false">MAX(0.5,MIN(1.5,1+IF($B14="",0,SUMPRODUCT((SMIX2DT!$D$2:$D$200=$B14)*(SMIX2DT!$H$2:$H$200="P5")*SMIX2DT!$I$2:$I$200*0.01))))</f>
        <v>1</v>
      </c>
      <c r="N14" s="0" t="n">
        <f aca="false">IF($B14="",0,IFERROR(SUMPRODUCT((SMIX2DT!$D$2:$D$200=$B14)*SMIX2DT!$I$2:$I$200),0))</f>
        <v>0</v>
      </c>
      <c r="O14" s="0" t="n">
        <f aca="false">D14+F14+H14+J14+L14</f>
        <v>0</v>
      </c>
    </row>
    <row r="15" customFormat="false" ht="15.75" hidden="false" customHeight="false" outlineLevel="0" collapsed="false">
      <c r="A15" s="0" t="s">
        <v>243</v>
      </c>
      <c r="C15" s="0" t="s">
        <v>244</v>
      </c>
      <c r="D15" s="0" t="n">
        <f aca="false">IF($B15="",0,COUNTIFS(SMIX2DT!$D$2:$D$200,$B15,SMIX2DT!$H$2:$H$200,"P1"))</f>
        <v>0</v>
      </c>
      <c r="E15" s="0" t="n">
        <f aca="false">MAX(0.5,MIN(1.5,1+IF($B15="",0,SUMPRODUCT((SMIX2DT!$D$2:$D$200=$B15)*(SMIX2DT!$H$2:$H$200="P1")*SMIX2DT!$I$2:$I$200*0.01))))</f>
        <v>1</v>
      </c>
      <c r="F15" s="0" t="n">
        <f aca="false">IF($B15="",0,COUNTIFS(SMIX2DT!$D$2:$D$200,$B15,SMIX2DT!$H$2:$H$200,"P2"))</f>
        <v>0</v>
      </c>
      <c r="G15" s="0" t="n">
        <f aca="false">MAX(0.5,MIN(1.5,1+IF($B15="",0,SUMPRODUCT((SMIX2DT!$D$2:$D$200=$B15)*(SMIX2DT!$H$2:$H$200="P2")*SMIX2DT!$I$2:$I$200*0.01))))</f>
        <v>1</v>
      </c>
      <c r="H15" s="0" t="n">
        <f aca="false">IF($B15="",0,COUNTIFS(SMIX2DT!$D$2:$D$200,$B15,SMIX2DT!$H$2:$H$200,"P3"))</f>
        <v>0</v>
      </c>
      <c r="I15" s="0" t="n">
        <f aca="false">MAX(0.5,MIN(1.5,1+IF($B15="",0,SUMPRODUCT((SMIX2DT!$D$2:$D$200=$B15)*(SMIX2DT!$H$2:$H$200="P3")*SMIX2DT!$I$2:$I$200*0.01))))</f>
        <v>1</v>
      </c>
      <c r="J15" s="0" t="n">
        <f aca="false">IF($B15="",0,COUNTIFS(SMIX2DT!$D$2:$D$200,$B15,SMIX2DT!$H$2:$H$200,"P4"))</f>
        <v>0</v>
      </c>
      <c r="K15" s="0" t="n">
        <f aca="false">MAX(0.5,MIN(1.5,1+IF($B15="",0,SUMPRODUCT((SMIX2DT!$D$2:$D$200=$B15)*(SMIX2DT!$H$2:$H$200="P4")*SMIX2DT!$I$2:$I$200*0.01))))</f>
        <v>1</v>
      </c>
      <c r="L15" s="0" t="n">
        <f aca="false">IF($B15="",0,COUNTIFS(SMIX2DT!$D$2:$D$200,$B15,SMIX2DT!$H$2:$H$200,"P5"))</f>
        <v>0</v>
      </c>
      <c r="M15" s="0" t="n">
        <f aca="false">MAX(0.5,MIN(1.5,1+IF($B15="",0,SUMPRODUCT((SMIX2DT!$D$2:$D$200=$B15)*(SMIX2DT!$H$2:$H$200="P5")*SMIX2DT!$I$2:$I$200*0.01))))</f>
        <v>1</v>
      </c>
      <c r="N15" s="0" t="n">
        <f aca="false">IF($B15="",0,IFERROR(SUMPRODUCT((SMIX2DT!$D$2:$D$200=$B15)*SMIX2DT!$I$2:$I$200),0))</f>
        <v>0</v>
      </c>
      <c r="O15" s="0" t="n">
        <f aca="false">D15+F15+H15+J15+L15</f>
        <v>0</v>
      </c>
    </row>
    <row r="16" customFormat="false" ht="15.75" hidden="false" customHeight="false" outlineLevel="0" collapsed="false">
      <c r="A16" s="0" t="s">
        <v>245</v>
      </c>
      <c r="B16" s="0" t="s">
        <v>209</v>
      </c>
      <c r="C16" s="0" t="s">
        <v>246</v>
      </c>
      <c r="D16" s="0" t="n">
        <f aca="false">IF($B16="",0,COUNTIFS(SMIX2DT!$D$2:$D$200,$B16,SMIX2DT!$H$2:$H$200,"P1"))</f>
        <v>0</v>
      </c>
      <c r="E16" s="0" t="n">
        <f aca="false">MAX(0.5,MIN(1.5,1+IF($B16="",0,SUMPRODUCT((SMIX2DT!$D$2:$D$200=$B16)*(SMIX2DT!$H$2:$H$200="P1")*SMIX2DT!$I$2:$I$200*0.01))))</f>
        <v>1</v>
      </c>
      <c r="F16" s="0" t="n">
        <f aca="false">IF($B16="",0,COUNTIFS(SMIX2DT!$D$2:$D$200,$B16,SMIX2DT!$H$2:$H$200,"P2"))</f>
        <v>0</v>
      </c>
      <c r="G16" s="0" t="n">
        <f aca="false">MAX(0.5,MIN(1.5,1+IF($B16="",0,SUMPRODUCT((SMIX2DT!$D$2:$D$200=$B16)*(SMIX2DT!$H$2:$H$200="P2")*SMIX2DT!$I$2:$I$200*0.01))))</f>
        <v>1</v>
      </c>
      <c r="H16" s="0" t="n">
        <f aca="false">IF($B16="",0,COUNTIFS(SMIX2DT!$D$2:$D$200,$B16,SMIX2DT!$H$2:$H$200,"P3"))</f>
        <v>0</v>
      </c>
      <c r="I16" s="0" t="n">
        <f aca="false">MAX(0.5,MIN(1.5,1+IF($B16="",0,SUMPRODUCT((SMIX2DT!$D$2:$D$200=$B16)*(SMIX2DT!$H$2:$H$200="P3")*SMIX2DT!$I$2:$I$200*0.01))))</f>
        <v>1</v>
      </c>
      <c r="J16" s="0" t="n">
        <f aca="false">IF($B16="",0,COUNTIFS(SMIX2DT!$D$2:$D$200,$B16,SMIX2DT!$H$2:$H$200,"P4"))</f>
        <v>0</v>
      </c>
      <c r="K16" s="0" t="n">
        <f aca="false">MAX(0.5,MIN(1.5,1+IF($B16="",0,SUMPRODUCT((SMIX2DT!$D$2:$D$200=$B16)*(SMIX2DT!$H$2:$H$200="P4")*SMIX2DT!$I$2:$I$200*0.01))))</f>
        <v>1</v>
      </c>
      <c r="L16" s="0" t="n">
        <f aca="false">IF($B16="",0,COUNTIFS(SMIX2DT!$D$2:$D$200,$B16,SMIX2DT!$H$2:$H$200,"P5"))</f>
        <v>0</v>
      </c>
      <c r="M16" s="0" t="n">
        <f aca="false">MAX(0.5,MIN(1.5,1+IF($B16="",0,SUMPRODUCT((SMIX2DT!$D$2:$D$200=$B16)*(SMIX2DT!$H$2:$H$200="P5")*SMIX2DT!$I$2:$I$200*0.01))))</f>
        <v>1</v>
      </c>
      <c r="N16" s="0" t="n">
        <f aca="false">IF($B16="",0,IFERROR(SUMPRODUCT((SMIX2DT!$D$2:$D$200=$B16)*SMIX2DT!$I$2:$I$200),0))</f>
        <v>2</v>
      </c>
      <c r="O16" s="0" t="n">
        <f aca="false">D16+F16+H16+J16+L16</f>
        <v>0</v>
      </c>
    </row>
    <row r="17" customFormat="false" ht="15.75" hidden="false" customHeight="false" outlineLevel="0" collapsed="false">
      <c r="A17" s="0" t="s">
        <v>247</v>
      </c>
      <c r="B17" s="0" t="s">
        <v>201</v>
      </c>
      <c r="C17" s="0" t="s">
        <v>248</v>
      </c>
      <c r="D17" s="0" t="n">
        <f aca="false">IF($B17="",0,COUNTIFS(SMIX2DT!$D$2:$D$200,$B17,SMIX2DT!$H$2:$H$200,"P1"))</f>
        <v>0</v>
      </c>
      <c r="E17" s="0" t="n">
        <f aca="false">MAX(0.5,MIN(1.5,1+IF($B17="",0,SUMPRODUCT((SMIX2DT!$D$2:$D$200=$B17)*(SMIX2DT!$H$2:$H$200="P1")*SMIX2DT!$I$2:$I$200*0.01))))</f>
        <v>1</v>
      </c>
      <c r="F17" s="0" t="n">
        <f aca="false">IF($B17="",0,COUNTIFS(SMIX2DT!$D$2:$D$200,$B17,SMIX2DT!$H$2:$H$200,"P2"))</f>
        <v>0</v>
      </c>
      <c r="G17" s="0" t="n">
        <f aca="false">MAX(0.5,MIN(1.5,1+IF($B17="",0,SUMPRODUCT((SMIX2DT!$D$2:$D$200=$B17)*(SMIX2DT!$H$2:$H$200="P2")*SMIX2DT!$I$2:$I$200*0.01))))</f>
        <v>1</v>
      </c>
      <c r="H17" s="0" t="n">
        <f aca="false">IF($B17="",0,COUNTIFS(SMIX2DT!$D$2:$D$200,$B17,SMIX2DT!$H$2:$H$200,"P3"))</f>
        <v>0</v>
      </c>
      <c r="I17" s="0" t="n">
        <f aca="false">MAX(0.5,MIN(1.5,1+IF($B17="",0,SUMPRODUCT((SMIX2DT!$D$2:$D$200=$B17)*(SMIX2DT!$H$2:$H$200="P3")*SMIX2DT!$I$2:$I$200*0.01))))</f>
        <v>1</v>
      </c>
      <c r="J17" s="0" t="n">
        <f aca="false">IF($B17="",0,COUNTIFS(SMIX2DT!$D$2:$D$200,$B17,SMIX2DT!$H$2:$H$200,"P4"))</f>
        <v>0</v>
      </c>
      <c r="K17" s="0" t="n">
        <f aca="false">MAX(0.5,MIN(1.5,1+IF($B17="",0,SUMPRODUCT((SMIX2DT!$D$2:$D$200=$B17)*(SMIX2DT!$H$2:$H$200="P4")*SMIX2DT!$I$2:$I$200*0.01))))</f>
        <v>1</v>
      </c>
      <c r="L17" s="0" t="n">
        <f aca="false">IF($B17="",0,COUNTIFS(SMIX2DT!$D$2:$D$200,$B17,SMIX2DT!$H$2:$H$200,"P5"))</f>
        <v>0</v>
      </c>
      <c r="M17" s="0" t="n">
        <f aca="false">MAX(0.5,MIN(1.5,1+IF($B17="",0,SUMPRODUCT((SMIX2DT!$D$2:$D$200=$B17)*(SMIX2DT!$H$2:$H$200="P5")*SMIX2DT!$I$2:$I$200*0.01))))</f>
        <v>1</v>
      </c>
      <c r="N17" s="0" t="n">
        <f aca="false">IF($B17="",0,IFERROR(SUMPRODUCT((SMIX2DT!$D$2:$D$200=$B17)*SMIX2DT!$I$2:$I$200),0))</f>
        <v>0</v>
      </c>
      <c r="O17" s="0" t="n">
        <f aca="false">D17+F17+H17+J17+L17</f>
        <v>0</v>
      </c>
    </row>
    <row r="18" customFormat="false" ht="15.75" hidden="false" customHeight="false" outlineLevel="0" collapsed="false">
      <c r="A18" s="0" t="s">
        <v>249</v>
      </c>
      <c r="B18" s="0" t="s">
        <v>217</v>
      </c>
      <c r="C18" s="0" t="s">
        <v>250</v>
      </c>
      <c r="D18" s="0" t="n">
        <f aca="false">IF($B18="",0,COUNTIFS(SMIX2DT!$D$2:$D$200,$B18,SMIX2DT!$H$2:$H$200,"P1"))</f>
        <v>0</v>
      </c>
      <c r="E18" s="0" t="n">
        <f aca="false">MAX(0.5,MIN(1.5,1+IF($B18="",0,SUMPRODUCT((SMIX2DT!$D$2:$D$200=$B18)*(SMIX2DT!$H$2:$H$200="P1")*SMIX2DT!$I$2:$I$200*0.01))))</f>
        <v>1</v>
      </c>
      <c r="F18" s="0" t="n">
        <f aca="false">IF($B18="",0,COUNTIFS(SMIX2DT!$D$2:$D$200,$B18,SMIX2DT!$H$2:$H$200,"P2"))</f>
        <v>0</v>
      </c>
      <c r="G18" s="0" t="n">
        <f aca="false">MAX(0.5,MIN(1.5,1+IF($B18="",0,SUMPRODUCT((SMIX2DT!$D$2:$D$200=$B18)*(SMIX2DT!$H$2:$H$200="P2")*SMIX2DT!$I$2:$I$200*0.01))))</f>
        <v>1</v>
      </c>
      <c r="H18" s="0" t="n">
        <f aca="false">IF($B18="",0,COUNTIFS(SMIX2DT!$D$2:$D$200,$B18,SMIX2DT!$H$2:$H$200,"P3"))</f>
        <v>0</v>
      </c>
      <c r="I18" s="0" t="n">
        <f aca="false">MAX(0.5,MIN(1.5,1+IF($B18="",0,SUMPRODUCT((SMIX2DT!$D$2:$D$200=$B18)*(SMIX2DT!$H$2:$H$200="P3")*SMIX2DT!$I$2:$I$200*0.01))))</f>
        <v>1</v>
      </c>
      <c r="J18" s="0" t="n">
        <f aca="false">IF($B18="",0,COUNTIFS(SMIX2DT!$D$2:$D$200,$B18,SMIX2DT!$H$2:$H$200,"P4"))</f>
        <v>0</v>
      </c>
      <c r="K18" s="0" t="n">
        <f aca="false">MAX(0.5,MIN(1.5,1+IF($B18="",0,SUMPRODUCT((SMIX2DT!$D$2:$D$200=$B18)*(SMIX2DT!$H$2:$H$200="P4")*SMIX2DT!$I$2:$I$200*0.01))))</f>
        <v>1</v>
      </c>
      <c r="L18" s="0" t="n">
        <f aca="false">IF($B18="",0,COUNTIFS(SMIX2DT!$D$2:$D$200,$B18,SMIX2DT!$H$2:$H$200,"P5"))</f>
        <v>0</v>
      </c>
      <c r="M18" s="0" t="n">
        <f aca="false">MAX(0.5,MIN(1.5,1+IF($B18="",0,SUMPRODUCT((SMIX2DT!$D$2:$D$200=$B18)*(SMIX2DT!$H$2:$H$200="P5")*SMIX2DT!$I$2:$I$200*0.01))))</f>
        <v>1</v>
      </c>
      <c r="N18" s="0" t="n">
        <f aca="false">IF($B18="",0,IFERROR(SUMPRODUCT((SMIX2DT!$D$2:$D$200=$B18)*SMIX2DT!$I$2:$I$200),0))</f>
        <v>-1</v>
      </c>
      <c r="O18" s="0" t="n">
        <f aca="false">D18+F18+H18+J18+L18</f>
        <v>0</v>
      </c>
    </row>
    <row r="19" customFormat="false" ht="15.75" hidden="false" customHeight="false" outlineLevel="0" collapsed="false">
      <c r="A19" s="0" t="s">
        <v>251</v>
      </c>
      <c r="C19" s="0" t="s">
        <v>156</v>
      </c>
      <c r="D19" s="0" t="n">
        <f aca="false">IF($B19="",0,COUNTIFS(SMIX2DT!$D$2:$D$200,$B19,SMIX2DT!$H$2:$H$200,"P1"))</f>
        <v>0</v>
      </c>
      <c r="E19" s="0" t="n">
        <f aca="false">MAX(0.5,MIN(1.5,1+IF($B19="",0,SUMPRODUCT((SMIX2DT!$D$2:$D$200=$B19)*(SMIX2DT!$H$2:$H$200="P1")*SMIX2DT!$I$2:$I$200*0.01))))</f>
        <v>1</v>
      </c>
      <c r="F19" s="0" t="n">
        <f aca="false">IF($B19="",0,COUNTIFS(SMIX2DT!$D$2:$D$200,$B19,SMIX2DT!$H$2:$H$200,"P2"))</f>
        <v>0</v>
      </c>
      <c r="G19" s="0" t="n">
        <f aca="false">MAX(0.5,MIN(1.5,1+IF($B19="",0,SUMPRODUCT((SMIX2DT!$D$2:$D$200=$B19)*(SMIX2DT!$H$2:$H$200="P2")*SMIX2DT!$I$2:$I$200*0.01))))</f>
        <v>1</v>
      </c>
      <c r="H19" s="0" t="n">
        <f aca="false">IF($B19="",0,COUNTIFS(SMIX2DT!$D$2:$D$200,$B19,SMIX2DT!$H$2:$H$200,"P3"))</f>
        <v>0</v>
      </c>
      <c r="I19" s="0" t="n">
        <f aca="false">MAX(0.5,MIN(1.5,1+IF($B19="",0,SUMPRODUCT((SMIX2DT!$D$2:$D$200=$B19)*(SMIX2DT!$H$2:$H$200="P3")*SMIX2DT!$I$2:$I$200*0.01))))</f>
        <v>1</v>
      </c>
      <c r="J19" s="0" t="n">
        <f aca="false">IF($B19="",0,COUNTIFS(SMIX2DT!$D$2:$D$200,$B19,SMIX2DT!$H$2:$H$200,"P4"))</f>
        <v>0</v>
      </c>
      <c r="K19" s="0" t="n">
        <f aca="false">MAX(0.5,MIN(1.5,1+IF($B19="",0,SUMPRODUCT((SMIX2DT!$D$2:$D$200=$B19)*(SMIX2DT!$H$2:$H$200="P4")*SMIX2DT!$I$2:$I$200*0.01))))</f>
        <v>1</v>
      </c>
      <c r="L19" s="0" t="n">
        <f aca="false">IF($B19="",0,COUNTIFS(SMIX2DT!$D$2:$D$200,$B19,SMIX2DT!$H$2:$H$200,"P5"))</f>
        <v>0</v>
      </c>
      <c r="M19" s="0" t="n">
        <f aca="false">MAX(0.5,MIN(1.5,1+IF($B19="",0,SUMPRODUCT((SMIX2DT!$D$2:$D$200=$B19)*(SMIX2DT!$H$2:$H$200="P5")*SMIX2DT!$I$2:$I$200*0.01))))</f>
        <v>1</v>
      </c>
      <c r="N19" s="0" t="n">
        <f aca="false">IF($B19="",0,IFERROR(SUMPRODUCT((SMIX2DT!$D$2:$D$200=$B19)*SMIX2DT!$I$2:$I$200),0))</f>
        <v>0</v>
      </c>
      <c r="O19" s="0" t="n">
        <f aca="false">D19+F19+H19+J19+L19</f>
        <v>0</v>
      </c>
    </row>
    <row r="20" customFormat="false" ht="15.75" hidden="false" customHeight="false" outlineLevel="0" collapsed="false">
      <c r="A20" s="0" t="s">
        <v>22</v>
      </c>
      <c r="C20" s="0" t="s">
        <v>212</v>
      </c>
      <c r="D20" s="0" t="n">
        <f aca="false">IF($B20="",0,COUNTIFS(SMIX2DT!$D$2:$D$200,$B20,SMIX2DT!$H$2:$H$200,"P1"))</f>
        <v>0</v>
      </c>
      <c r="E20" s="0" t="n">
        <f aca="false">MAX(0.5,MIN(1.5,1+IF($B20="",0,SUMPRODUCT((SMIX2DT!$D$2:$D$200=$B20)*(SMIX2DT!$H$2:$H$200="P1")*SMIX2DT!$I$2:$I$200*0.01))))</f>
        <v>1</v>
      </c>
      <c r="F20" s="0" t="n">
        <f aca="false">IF($B20="",0,COUNTIFS(SMIX2DT!$D$2:$D$200,$B20,SMIX2DT!$H$2:$H$200,"P2"))</f>
        <v>0</v>
      </c>
      <c r="G20" s="0" t="n">
        <f aca="false">MAX(0.5,MIN(1.5,1+IF($B20="",0,SUMPRODUCT((SMIX2DT!$D$2:$D$200=$B20)*(SMIX2DT!$H$2:$H$200="P2")*SMIX2DT!$I$2:$I$200*0.01))))</f>
        <v>1</v>
      </c>
      <c r="H20" s="0" t="n">
        <f aca="false">IF($B20="",0,COUNTIFS(SMIX2DT!$D$2:$D$200,$B20,SMIX2DT!$H$2:$H$200,"P3"))</f>
        <v>0</v>
      </c>
      <c r="I20" s="0" t="n">
        <f aca="false">MAX(0.5,MIN(1.5,1+IF($B20="",0,SUMPRODUCT((SMIX2DT!$D$2:$D$200=$B20)*(SMIX2DT!$H$2:$H$200="P3")*SMIX2DT!$I$2:$I$200*0.01))))</f>
        <v>1</v>
      </c>
      <c r="J20" s="0" t="n">
        <f aca="false">IF($B20="",0,COUNTIFS(SMIX2DT!$D$2:$D$200,$B20,SMIX2DT!$H$2:$H$200,"P4"))</f>
        <v>0</v>
      </c>
      <c r="K20" s="0" t="n">
        <f aca="false">MAX(0.5,MIN(1.5,1+IF($B20="",0,SUMPRODUCT((SMIX2DT!$D$2:$D$200=$B20)*(SMIX2DT!$H$2:$H$200="P4")*SMIX2DT!$I$2:$I$200*0.01))))</f>
        <v>1</v>
      </c>
      <c r="L20" s="0" t="n">
        <f aca="false">IF($B20="",0,COUNTIFS(SMIX2DT!$D$2:$D$200,$B20,SMIX2DT!$H$2:$H$200,"P5"))</f>
        <v>0</v>
      </c>
      <c r="M20" s="0" t="n">
        <f aca="false">MAX(0.5,MIN(1.5,1+IF($B20="",0,SUMPRODUCT((SMIX2DT!$D$2:$D$200=$B20)*(SMIX2DT!$H$2:$H$200="P5")*SMIX2DT!$I$2:$I$200*0.01))))</f>
        <v>1</v>
      </c>
      <c r="N20" s="0" t="n">
        <f aca="false">IF($B20="",0,IFERROR(SUMPRODUCT((SMIX2DT!$D$2:$D$200=$B20)*SMIX2DT!$I$2:$I$200),0))</f>
        <v>0</v>
      </c>
      <c r="O20" s="0" t="n">
        <f aca="false">D20+F20+H20+J20+L20</f>
        <v>0</v>
      </c>
    </row>
    <row r="21" customFormat="false" ht="15.75" hidden="false" customHeight="false" outlineLevel="0" collapsed="false">
      <c r="A21" s="0" t="s">
        <v>20</v>
      </c>
      <c r="C21" s="0" t="s">
        <v>149</v>
      </c>
      <c r="D21" s="0" t="n">
        <f aca="false">IF($B21="",0,COUNTIFS(SMIX2DT!$D$2:$D$200,$B21,SMIX2DT!$H$2:$H$200,"P1"))</f>
        <v>0</v>
      </c>
      <c r="E21" s="0" t="n">
        <f aca="false">MAX(0.5,MIN(1.5,1+IF($B21="",0,SUMPRODUCT((SMIX2DT!$D$2:$D$200=$B21)*(SMIX2DT!$H$2:$H$200="P1")*SMIX2DT!$I$2:$I$200*0.01))))</f>
        <v>1</v>
      </c>
      <c r="F21" s="0" t="n">
        <f aca="false">IF($B21="",0,COUNTIFS(SMIX2DT!$D$2:$D$200,$B21,SMIX2DT!$H$2:$H$200,"P2"))</f>
        <v>0</v>
      </c>
      <c r="G21" s="0" t="n">
        <f aca="false">MAX(0.5,MIN(1.5,1+IF($B21="",0,SUMPRODUCT((SMIX2DT!$D$2:$D$200=$B21)*(SMIX2DT!$H$2:$H$200="P2")*SMIX2DT!$I$2:$I$200*0.01))))</f>
        <v>1</v>
      </c>
      <c r="H21" s="0" t="n">
        <f aca="false">IF($B21="",0,COUNTIFS(SMIX2DT!$D$2:$D$200,$B21,SMIX2DT!$H$2:$H$200,"P3"))</f>
        <v>0</v>
      </c>
      <c r="I21" s="0" t="n">
        <f aca="false">MAX(0.5,MIN(1.5,1+IF($B21="",0,SUMPRODUCT((SMIX2DT!$D$2:$D$200=$B21)*(SMIX2DT!$H$2:$H$200="P3")*SMIX2DT!$I$2:$I$200*0.01))))</f>
        <v>1</v>
      </c>
      <c r="J21" s="0" t="n">
        <f aca="false">IF($B21="",0,COUNTIFS(SMIX2DT!$D$2:$D$200,$B21,SMIX2DT!$H$2:$H$200,"P4"))</f>
        <v>0</v>
      </c>
      <c r="K21" s="0" t="n">
        <f aca="false">MAX(0.5,MIN(1.5,1+IF($B21="",0,SUMPRODUCT((SMIX2DT!$D$2:$D$200=$B21)*(SMIX2DT!$H$2:$H$200="P4")*SMIX2DT!$I$2:$I$200*0.01))))</f>
        <v>1</v>
      </c>
      <c r="L21" s="0" t="n">
        <f aca="false">IF($B21="",0,COUNTIFS(SMIX2DT!$D$2:$D$200,$B21,SMIX2DT!$H$2:$H$200,"P5"))</f>
        <v>0</v>
      </c>
      <c r="M21" s="0" t="n">
        <f aca="false">MAX(0.5,MIN(1.5,1+IF($B21="",0,SUMPRODUCT((SMIX2DT!$D$2:$D$200=$B21)*(SMIX2DT!$H$2:$H$200="P5")*SMIX2DT!$I$2:$I$200*0.01))))</f>
        <v>1</v>
      </c>
      <c r="N21" s="0" t="n">
        <f aca="false">IF($B21="",0,IFERROR(SUMPRODUCT((SMIX2DT!$D$2:$D$200=$B21)*SMIX2DT!$I$2:$I$200),0))</f>
        <v>0</v>
      </c>
      <c r="O21" s="0" t="n">
        <f aca="false">D21+F21+H21+J21+L21</f>
        <v>0</v>
      </c>
    </row>
    <row r="22" customFormat="false" ht="15.75" hidden="false" customHeight="false" outlineLevel="0" collapsed="false">
      <c r="D22" s="0" t="n">
        <f aca="false">IF($B22="",0,COUNTIFS(SMIX2DT!$D$2:$D$200,$B22,SMIX2DT!$H$2:$H$200,"P1"))</f>
        <v>0</v>
      </c>
      <c r="E22" s="0" t="n">
        <f aca="false">MAX(0.5,MIN(1.5,1+IF($B22="",0,SUMPRODUCT((SMIX2DT!$D$2:$D$200=$B22)*(SMIX2DT!$H$2:$H$200="P1")*SMIX2DT!$I$2:$I$200*0.01))))</f>
        <v>1</v>
      </c>
      <c r="F22" s="0" t="n">
        <f aca="false">IF($B22="",0,COUNTIFS(SMIX2DT!$D$2:$D$200,$B22,SMIX2DT!$H$2:$H$200,"P2"))</f>
        <v>0</v>
      </c>
      <c r="G22" s="0" t="n">
        <f aca="false">MAX(0.5,MIN(1.5,1+IF($B22="",0,SUMPRODUCT((SMIX2DT!$D$2:$D$200=$B22)*(SMIX2DT!$H$2:$H$200="P2")*SMIX2DT!$I$2:$I$200*0.01))))</f>
        <v>1</v>
      </c>
      <c r="H22" s="0" t="n">
        <f aca="false">IF($B22="",0,COUNTIFS(SMIX2DT!$D$2:$D$200,$B22,SMIX2DT!$H$2:$H$200,"P3"))</f>
        <v>0</v>
      </c>
      <c r="I22" s="0" t="n">
        <f aca="false">MAX(0.5,MIN(1.5,1+IF($B22="",0,SUMPRODUCT((SMIX2DT!$D$2:$D$200=$B22)*(SMIX2DT!$H$2:$H$200="P3")*SMIX2DT!$I$2:$I$200*0.01))))</f>
        <v>1</v>
      </c>
      <c r="J22" s="0" t="n">
        <f aca="false">IF($B22="",0,COUNTIFS(SMIX2DT!$D$2:$D$200,$B22,SMIX2DT!$H$2:$H$200,"P4"))</f>
        <v>0</v>
      </c>
      <c r="K22" s="0" t="n">
        <f aca="false">MAX(0.5,MIN(1.5,1+IF($B22="",0,SUMPRODUCT((SMIX2DT!$D$2:$D$200=$B22)*(SMIX2DT!$H$2:$H$200="P4")*SMIX2DT!$I$2:$I$200*0.01))))</f>
        <v>1</v>
      </c>
      <c r="L22" s="0" t="n">
        <f aca="false">IF($B22="",0,COUNTIFS(SMIX2DT!$D$2:$D$200,$B22,SMIX2DT!$H$2:$H$200,"P5"))</f>
        <v>0</v>
      </c>
      <c r="M22" s="0" t="n">
        <f aca="false">MAX(0.5,MIN(1.5,1+IF($B22="",0,SUMPRODUCT((SMIX2DT!$D$2:$D$200=$B22)*(SMIX2DT!$H$2:$H$200="P5")*SMIX2DT!$I$2:$I$200*0.01))))</f>
        <v>1</v>
      </c>
      <c r="N22" s="0" t="n">
        <f aca="false">IF($B22="",0,IFERROR(SUMPRODUCT((SMIX2DT!$D$2:$D$200=$B22)*SMIX2DT!$I$2:$I$200),0))</f>
        <v>0</v>
      </c>
      <c r="O22" s="0" t="n">
        <f aca="false">D22+F22+H22+J22+L22</f>
        <v>0</v>
      </c>
    </row>
    <row r="23" customFormat="false" ht="15.75" hidden="false" customHeight="false" outlineLevel="0" collapsed="false">
      <c r="D23" s="0" t="n">
        <f aca="false">IF($B23="",0,COUNTIFS(SMIX2DT!$D$2:$D$200,$B23,SMIX2DT!$H$2:$H$200,"P1"))</f>
        <v>0</v>
      </c>
      <c r="E23" s="0" t="n">
        <f aca="false">MAX(0.5,MIN(1.5,1+IF($B23="",0,SUMPRODUCT((SMIX2DT!$D$2:$D$200=$B23)*(SMIX2DT!$H$2:$H$200="P1")*SMIX2DT!$I$2:$I$200*0.01))))</f>
        <v>1</v>
      </c>
      <c r="F23" s="0" t="n">
        <f aca="false">IF($B23="",0,COUNTIFS(SMIX2DT!$D$2:$D$200,$B23,SMIX2DT!$H$2:$H$200,"P2"))</f>
        <v>0</v>
      </c>
      <c r="G23" s="0" t="n">
        <f aca="false">MAX(0.5,MIN(1.5,1+IF($B23="",0,SUMPRODUCT((SMIX2DT!$D$2:$D$200=$B23)*(SMIX2DT!$H$2:$H$200="P2")*SMIX2DT!$I$2:$I$200*0.01))))</f>
        <v>1</v>
      </c>
      <c r="H23" s="0" t="n">
        <f aca="false">IF($B23="",0,COUNTIFS(SMIX2DT!$D$2:$D$200,$B23,SMIX2DT!$H$2:$H$200,"P3"))</f>
        <v>0</v>
      </c>
      <c r="I23" s="0" t="n">
        <f aca="false">MAX(0.5,MIN(1.5,1+IF($B23="",0,SUMPRODUCT((SMIX2DT!$D$2:$D$200=$B23)*(SMIX2DT!$H$2:$H$200="P3")*SMIX2DT!$I$2:$I$200*0.01))))</f>
        <v>1</v>
      </c>
      <c r="J23" s="0" t="n">
        <f aca="false">IF($B23="",0,COUNTIFS(SMIX2DT!$D$2:$D$200,$B23,SMIX2DT!$H$2:$H$200,"P4"))</f>
        <v>0</v>
      </c>
      <c r="K23" s="0" t="n">
        <f aca="false">MAX(0.5,MIN(1.5,1+IF($B23="",0,SUMPRODUCT((SMIX2DT!$D$2:$D$200=$B23)*(SMIX2DT!$H$2:$H$200="P4")*SMIX2DT!$I$2:$I$200*0.01))))</f>
        <v>1</v>
      </c>
      <c r="L23" s="0" t="n">
        <f aca="false">IF($B23="",0,COUNTIFS(SMIX2DT!$D$2:$D$200,$B23,SMIX2DT!$H$2:$H$200,"P5"))</f>
        <v>0</v>
      </c>
      <c r="M23" s="0" t="n">
        <f aca="false">MAX(0.5,MIN(1.5,1+IF($B23="",0,SUMPRODUCT((SMIX2DT!$D$2:$D$200=$B23)*(SMIX2DT!$H$2:$H$200="P5")*SMIX2DT!$I$2:$I$200*0.01))))</f>
        <v>1</v>
      </c>
      <c r="N23" s="0" t="n">
        <f aca="false">IF($B23="",0,IFERROR(SUMPRODUCT((SMIX2DT!$D$2:$D$200=$B23)*SMIX2DT!$I$2:$I$200),0))</f>
        <v>0</v>
      </c>
      <c r="O23" s="0" t="n">
        <f aca="false">D23+F23+H23+J23+L23</f>
        <v>0</v>
      </c>
    </row>
    <row r="24" customFormat="false" ht="15.75" hidden="false" customHeight="false" outlineLevel="0" collapsed="false">
      <c r="D24" s="0" t="n">
        <f aca="false">IF($B24="",0,COUNTIFS(SMIX2DT!$D$2:$D$200,$B24,SMIX2DT!$H$2:$H$200,"P1"))</f>
        <v>0</v>
      </c>
      <c r="E24" s="0" t="n">
        <f aca="false">MAX(0.5,MIN(1.5,1+IF($B24="",0,SUMPRODUCT((SMIX2DT!$D$2:$D$200=$B24)*(SMIX2DT!$H$2:$H$200="P1")*SMIX2DT!$I$2:$I$200*0.01))))</f>
        <v>1</v>
      </c>
      <c r="F24" s="0" t="n">
        <f aca="false">IF($B24="",0,COUNTIFS(SMIX2DT!$D$2:$D$200,$B24,SMIX2DT!$H$2:$H$200,"P2"))</f>
        <v>0</v>
      </c>
      <c r="G24" s="0" t="n">
        <f aca="false">MAX(0.5,MIN(1.5,1+IF($B24="",0,SUMPRODUCT((SMIX2DT!$D$2:$D$200=$B24)*(SMIX2DT!$H$2:$H$200="P2")*SMIX2DT!$I$2:$I$200*0.01))))</f>
        <v>1</v>
      </c>
      <c r="H24" s="0" t="n">
        <f aca="false">IF($B24="",0,COUNTIFS(SMIX2DT!$D$2:$D$200,$B24,SMIX2DT!$H$2:$H$200,"P3"))</f>
        <v>0</v>
      </c>
      <c r="I24" s="0" t="n">
        <f aca="false">MAX(0.5,MIN(1.5,1+IF($B24="",0,SUMPRODUCT((SMIX2DT!$D$2:$D$200=$B24)*(SMIX2DT!$H$2:$H$200="P3")*SMIX2DT!$I$2:$I$200*0.01))))</f>
        <v>1</v>
      </c>
      <c r="J24" s="0" t="n">
        <f aca="false">IF($B24="",0,COUNTIFS(SMIX2DT!$D$2:$D$200,$B24,SMIX2DT!$H$2:$H$200,"P4"))</f>
        <v>0</v>
      </c>
      <c r="K24" s="0" t="n">
        <f aca="false">MAX(0.5,MIN(1.5,1+IF($B24="",0,SUMPRODUCT((SMIX2DT!$D$2:$D$200=$B24)*(SMIX2DT!$H$2:$H$200="P4")*SMIX2DT!$I$2:$I$200*0.01))))</f>
        <v>1</v>
      </c>
      <c r="L24" s="0" t="n">
        <f aca="false">IF($B24="",0,COUNTIFS(SMIX2DT!$D$2:$D$200,$B24,SMIX2DT!$H$2:$H$200,"P5"))</f>
        <v>0</v>
      </c>
      <c r="M24" s="0" t="n">
        <f aca="false">MAX(0.5,MIN(1.5,1+IF($B24="",0,SUMPRODUCT((SMIX2DT!$D$2:$D$200=$B24)*(SMIX2DT!$H$2:$H$200="P5")*SMIX2DT!$I$2:$I$200*0.01))))</f>
        <v>1</v>
      </c>
      <c r="N24" s="0" t="n">
        <f aca="false">IF($B24="",0,IFERROR(SUMPRODUCT((SMIX2DT!$D$2:$D$200=$B24)*SMIX2DT!$I$2:$I$200),0))</f>
        <v>0</v>
      </c>
      <c r="O24" s="0" t="n">
        <f aca="false">D24+F24+H24+J24+L24</f>
        <v>0</v>
      </c>
    </row>
    <row r="25" customFormat="false" ht="15.75" hidden="false" customHeight="false" outlineLevel="0" collapsed="false">
      <c r="D25" s="0" t="n">
        <f aca="false">IF($B25="",0,COUNTIFS(SMIX2DT!$D$2:$D$200,$B25,SMIX2DT!$H$2:$H$200,"P1"))</f>
        <v>0</v>
      </c>
      <c r="E25" s="0" t="n">
        <f aca="false">MAX(0.5,MIN(1.5,1+IF($B25="",0,SUMPRODUCT((SMIX2DT!$D$2:$D$200=$B25)*(SMIX2DT!$H$2:$H$200="P1")*SMIX2DT!$I$2:$I$200*0.01))))</f>
        <v>1</v>
      </c>
      <c r="F25" s="0" t="n">
        <f aca="false">IF($B25="",0,COUNTIFS(SMIX2DT!$D$2:$D$200,$B25,SMIX2DT!$H$2:$H$200,"P2"))</f>
        <v>0</v>
      </c>
      <c r="G25" s="0" t="n">
        <f aca="false">MAX(0.5,MIN(1.5,1+IF($B25="",0,SUMPRODUCT((SMIX2DT!$D$2:$D$200=$B25)*(SMIX2DT!$H$2:$H$200="P2")*SMIX2DT!$I$2:$I$200*0.01))))</f>
        <v>1</v>
      </c>
      <c r="H25" s="0" t="n">
        <f aca="false">IF($B25="",0,COUNTIFS(SMIX2DT!$D$2:$D$200,$B25,SMIX2DT!$H$2:$H$200,"P3"))</f>
        <v>0</v>
      </c>
      <c r="I25" s="0" t="n">
        <f aca="false">MAX(0.5,MIN(1.5,1+IF($B25="",0,SUMPRODUCT((SMIX2DT!$D$2:$D$200=$B25)*(SMIX2DT!$H$2:$H$200="P3")*SMIX2DT!$I$2:$I$200*0.01))))</f>
        <v>1</v>
      </c>
      <c r="J25" s="0" t="n">
        <f aca="false">IF($B25="",0,COUNTIFS(SMIX2DT!$D$2:$D$200,$B25,SMIX2DT!$H$2:$H$200,"P4"))</f>
        <v>0</v>
      </c>
      <c r="K25" s="0" t="n">
        <f aca="false">MAX(0.5,MIN(1.5,1+IF($B25="",0,SUMPRODUCT((SMIX2DT!$D$2:$D$200=$B25)*(SMIX2DT!$H$2:$H$200="P4")*SMIX2DT!$I$2:$I$200*0.01))))</f>
        <v>1</v>
      </c>
      <c r="L25" s="0" t="n">
        <f aca="false">IF($B25="",0,COUNTIFS(SMIX2DT!$D$2:$D$200,$B25,SMIX2DT!$H$2:$H$200,"P5"))</f>
        <v>0</v>
      </c>
      <c r="M25" s="0" t="n">
        <f aca="false">MAX(0.5,MIN(1.5,1+IF($B25="",0,SUMPRODUCT((SMIX2DT!$D$2:$D$200=$B25)*(SMIX2DT!$H$2:$H$200="P5")*SMIX2DT!$I$2:$I$200*0.01))))</f>
        <v>1</v>
      </c>
      <c r="N25" s="0" t="n">
        <f aca="false">IF($B25="",0,IFERROR(SUMPRODUCT((SMIX2DT!$D$2:$D$200=$B25)*SMIX2DT!$I$2:$I$200),0))</f>
        <v>0</v>
      </c>
      <c r="O25" s="0" t="n">
        <f aca="false">D25+F25+H25+J25+L25</f>
        <v>0</v>
      </c>
    </row>
    <row r="26" customFormat="false" ht="15.75" hidden="false" customHeight="false" outlineLevel="0" collapsed="false">
      <c r="D26" s="0" t="n">
        <f aca="false">IF($B26="",0,COUNTIFS(SMIX2DT!$D$2:$D$200,$B26,SMIX2DT!$H$2:$H$200,"P1"))</f>
        <v>0</v>
      </c>
      <c r="E26" s="0" t="n">
        <f aca="false">MAX(0.5,MIN(1.5,1+IF($B26="",0,SUMPRODUCT((SMIX2DT!$D$2:$D$200=$B26)*(SMIX2DT!$H$2:$H$200="P1")*SMIX2DT!$I$2:$I$200*0.01))))</f>
        <v>1</v>
      </c>
      <c r="F26" s="0" t="n">
        <f aca="false">IF($B26="",0,COUNTIFS(SMIX2DT!$D$2:$D$200,$B26,SMIX2DT!$H$2:$H$200,"P2"))</f>
        <v>0</v>
      </c>
      <c r="G26" s="0" t="n">
        <f aca="false">MAX(0.5,MIN(1.5,1+IF($B26="",0,SUMPRODUCT((SMIX2DT!$D$2:$D$200=$B26)*(SMIX2DT!$H$2:$H$200="P2")*SMIX2DT!$I$2:$I$200*0.01))))</f>
        <v>1</v>
      </c>
      <c r="H26" s="0" t="n">
        <f aca="false">IF($B26="",0,COUNTIFS(SMIX2DT!$D$2:$D$200,$B26,SMIX2DT!$H$2:$H$200,"P3"))</f>
        <v>0</v>
      </c>
      <c r="I26" s="0" t="n">
        <f aca="false">MAX(0.5,MIN(1.5,1+IF($B26="",0,SUMPRODUCT((SMIX2DT!$D$2:$D$200=$B26)*(SMIX2DT!$H$2:$H$200="P3")*SMIX2DT!$I$2:$I$200*0.01))))</f>
        <v>1</v>
      </c>
      <c r="J26" s="0" t="n">
        <f aca="false">IF($B26="",0,COUNTIFS(SMIX2DT!$D$2:$D$200,$B26,SMIX2DT!$H$2:$H$200,"P4"))</f>
        <v>0</v>
      </c>
      <c r="K26" s="0" t="n">
        <f aca="false">MAX(0.5,MIN(1.5,1+IF($B26="",0,SUMPRODUCT((SMIX2DT!$D$2:$D$200=$B26)*(SMIX2DT!$H$2:$H$200="P4")*SMIX2DT!$I$2:$I$200*0.01))))</f>
        <v>1</v>
      </c>
      <c r="L26" s="0" t="n">
        <f aca="false">IF($B26="",0,COUNTIFS(SMIX2DT!$D$2:$D$200,$B26,SMIX2DT!$H$2:$H$200,"P5"))</f>
        <v>0</v>
      </c>
      <c r="M26" s="0" t="n">
        <f aca="false">MAX(0.5,MIN(1.5,1+IF($B26="",0,SUMPRODUCT((SMIX2DT!$D$2:$D$200=$B26)*(SMIX2DT!$H$2:$H$200="P5")*SMIX2DT!$I$2:$I$200*0.01))))</f>
        <v>1</v>
      </c>
      <c r="N26" s="0" t="n">
        <f aca="false">IF($B26="",0,IFERROR(SUMPRODUCT((SMIX2DT!$D$2:$D$200=$B26)*SMIX2DT!$I$2:$I$200),0))</f>
        <v>0</v>
      </c>
      <c r="O26" s="0" t="n">
        <f aca="false">D26+F26+H26+J26+L26</f>
        <v>0</v>
      </c>
    </row>
    <row r="27" customFormat="false" ht="15.75" hidden="false" customHeight="false" outlineLevel="0" collapsed="false">
      <c r="D27" s="0" t="n">
        <f aca="false">IF($B27="",0,COUNTIFS(SMIX2DT!$D$2:$D$200,$B27,SMIX2DT!$H$2:$H$200,"P1"))</f>
        <v>0</v>
      </c>
      <c r="E27" s="0" t="n">
        <f aca="false">MAX(0.5,MIN(1.5,1+IF($B27="",0,SUMPRODUCT((SMIX2DT!$D$2:$D$200=$B27)*(SMIX2DT!$H$2:$H$200="P1")*SMIX2DT!$I$2:$I$200*0.01))))</f>
        <v>1</v>
      </c>
      <c r="F27" s="0" t="n">
        <f aca="false">IF($B27="",0,COUNTIFS(SMIX2DT!$D$2:$D$200,$B27,SMIX2DT!$H$2:$H$200,"P2"))</f>
        <v>0</v>
      </c>
      <c r="G27" s="0" t="n">
        <f aca="false">MAX(0.5,MIN(1.5,1+IF($B27="",0,SUMPRODUCT((SMIX2DT!$D$2:$D$200=$B27)*(SMIX2DT!$H$2:$H$200="P2")*SMIX2DT!$I$2:$I$200*0.01))))</f>
        <v>1</v>
      </c>
      <c r="H27" s="0" t="n">
        <f aca="false">IF($B27="",0,COUNTIFS(SMIX2DT!$D$2:$D$200,$B27,SMIX2DT!$H$2:$H$200,"P3"))</f>
        <v>0</v>
      </c>
      <c r="I27" s="0" t="n">
        <f aca="false">MAX(0.5,MIN(1.5,1+IF($B27="",0,SUMPRODUCT((SMIX2DT!$D$2:$D$200=$B27)*(SMIX2DT!$H$2:$H$200="P3")*SMIX2DT!$I$2:$I$200*0.01))))</f>
        <v>1</v>
      </c>
      <c r="J27" s="0" t="n">
        <f aca="false">IF($B27="",0,COUNTIFS(SMIX2DT!$D$2:$D$200,$B27,SMIX2DT!$H$2:$H$200,"P4"))</f>
        <v>0</v>
      </c>
      <c r="K27" s="0" t="n">
        <f aca="false">MAX(0.5,MIN(1.5,1+IF($B27="",0,SUMPRODUCT((SMIX2DT!$D$2:$D$200=$B27)*(SMIX2DT!$H$2:$H$200="P4")*SMIX2DT!$I$2:$I$200*0.01))))</f>
        <v>1</v>
      </c>
      <c r="L27" s="0" t="n">
        <f aca="false">IF($B27="",0,COUNTIFS(SMIX2DT!$D$2:$D$200,$B27,SMIX2DT!$H$2:$H$200,"P5"))</f>
        <v>0</v>
      </c>
      <c r="M27" s="0" t="n">
        <f aca="false">MAX(0.5,MIN(1.5,1+IF($B27="",0,SUMPRODUCT((SMIX2DT!$D$2:$D$200=$B27)*(SMIX2DT!$H$2:$H$200="P5")*SMIX2DT!$I$2:$I$200*0.01))))</f>
        <v>1</v>
      </c>
      <c r="N27" s="0" t="n">
        <f aca="false">IF($B27="",0,IFERROR(SUMPRODUCT((SMIX2DT!$D$2:$D$200=$B27)*SMIX2DT!$I$2:$I$200),0))</f>
        <v>0</v>
      </c>
      <c r="O27" s="0" t="n">
        <f aca="false">D27+F27+H27+J27+L27</f>
        <v>0</v>
      </c>
    </row>
    <row r="28" customFormat="false" ht="15.75" hidden="false" customHeight="false" outlineLevel="0" collapsed="false">
      <c r="D28" s="0" t="n">
        <f aca="false">IF($B28="",0,COUNTIFS(SMIX2DT!$D$2:$D$200,$B28,SMIX2DT!$H$2:$H$200,"P1"))</f>
        <v>0</v>
      </c>
      <c r="E28" s="0" t="n">
        <f aca="false">MAX(0.5,MIN(1.5,1+IF($B28="",0,SUMPRODUCT((SMIX2DT!$D$2:$D$200=$B28)*(SMIX2DT!$H$2:$H$200="P1")*SMIX2DT!$I$2:$I$200*0.01))))</f>
        <v>1</v>
      </c>
      <c r="F28" s="0" t="n">
        <f aca="false">IF($B28="",0,COUNTIFS(SMIX2DT!$D$2:$D$200,$B28,SMIX2DT!$H$2:$H$200,"P2"))</f>
        <v>0</v>
      </c>
      <c r="G28" s="0" t="n">
        <f aca="false">MAX(0.5,MIN(1.5,1+IF($B28="",0,SUMPRODUCT((SMIX2DT!$D$2:$D$200=$B28)*(SMIX2DT!$H$2:$H$200="P2")*SMIX2DT!$I$2:$I$200*0.01))))</f>
        <v>1</v>
      </c>
      <c r="H28" s="0" t="n">
        <f aca="false">IF($B28="",0,COUNTIFS(SMIX2DT!$D$2:$D$200,$B28,SMIX2DT!$H$2:$H$200,"P3"))</f>
        <v>0</v>
      </c>
      <c r="I28" s="0" t="n">
        <f aca="false">MAX(0.5,MIN(1.5,1+IF($B28="",0,SUMPRODUCT((SMIX2DT!$D$2:$D$200=$B28)*(SMIX2DT!$H$2:$H$200="P3")*SMIX2DT!$I$2:$I$200*0.01))))</f>
        <v>1</v>
      </c>
      <c r="J28" s="0" t="n">
        <f aca="false">IF($B28="",0,COUNTIFS(SMIX2DT!$D$2:$D$200,$B28,SMIX2DT!$H$2:$H$200,"P4"))</f>
        <v>0</v>
      </c>
      <c r="K28" s="0" t="n">
        <f aca="false">MAX(0.5,MIN(1.5,1+IF($B28="",0,SUMPRODUCT((SMIX2DT!$D$2:$D$200=$B28)*(SMIX2DT!$H$2:$H$200="P4")*SMIX2DT!$I$2:$I$200*0.01))))</f>
        <v>1</v>
      </c>
      <c r="L28" s="0" t="n">
        <f aca="false">IF($B28="",0,COUNTIFS(SMIX2DT!$D$2:$D$200,$B28,SMIX2DT!$H$2:$H$200,"P5"))</f>
        <v>0</v>
      </c>
      <c r="M28" s="0" t="n">
        <f aca="false">MAX(0.5,MIN(1.5,1+IF($B28="",0,SUMPRODUCT((SMIX2DT!$D$2:$D$200=$B28)*(SMIX2DT!$H$2:$H$200="P5")*SMIX2DT!$I$2:$I$200*0.01))))</f>
        <v>1</v>
      </c>
      <c r="N28" s="0" t="n">
        <f aca="false">IF($B28="",0,IFERROR(SUMPRODUCT((SMIX2DT!$D$2:$D$200=$B28)*SMIX2DT!$I$2:$I$200),0))</f>
        <v>0</v>
      </c>
      <c r="O28" s="0" t="n">
        <f aca="false">D28+F28+H28+J28+L28</f>
        <v>0</v>
      </c>
    </row>
    <row r="29" customFormat="false" ht="15.75" hidden="false" customHeight="false" outlineLevel="0" collapsed="false">
      <c r="D29" s="0" t="n">
        <f aca="false">IF($B29="",0,COUNTIFS(SMIX2DT!$D$2:$D$200,$B29,SMIX2DT!$H$2:$H$200,"P1"))</f>
        <v>0</v>
      </c>
      <c r="E29" s="0" t="n">
        <f aca="false">MAX(0.5,MIN(1.5,1+IF($B29="",0,SUMPRODUCT((SMIX2DT!$D$2:$D$200=$B29)*(SMIX2DT!$H$2:$H$200="P1")*SMIX2DT!$I$2:$I$200*0.01))))</f>
        <v>1</v>
      </c>
      <c r="F29" s="0" t="n">
        <f aca="false">IF($B29="",0,COUNTIFS(SMIX2DT!$D$2:$D$200,$B29,SMIX2DT!$H$2:$H$200,"P2"))</f>
        <v>0</v>
      </c>
      <c r="G29" s="0" t="n">
        <f aca="false">MAX(0.5,MIN(1.5,1+IF($B29="",0,SUMPRODUCT((SMIX2DT!$D$2:$D$200=$B29)*(SMIX2DT!$H$2:$H$200="P2")*SMIX2DT!$I$2:$I$200*0.01))))</f>
        <v>1</v>
      </c>
      <c r="H29" s="0" t="n">
        <f aca="false">IF($B29="",0,COUNTIFS(SMIX2DT!$D$2:$D$200,$B29,SMIX2DT!$H$2:$H$200,"P3"))</f>
        <v>0</v>
      </c>
      <c r="I29" s="0" t="n">
        <f aca="false">MAX(0.5,MIN(1.5,1+IF($B29="",0,SUMPRODUCT((SMIX2DT!$D$2:$D$200=$B29)*(SMIX2DT!$H$2:$H$200="P3")*SMIX2DT!$I$2:$I$200*0.01))))</f>
        <v>1</v>
      </c>
      <c r="J29" s="0" t="n">
        <f aca="false">IF($B29="",0,COUNTIFS(SMIX2DT!$D$2:$D$200,$B29,SMIX2DT!$H$2:$H$200,"P4"))</f>
        <v>0</v>
      </c>
      <c r="K29" s="0" t="n">
        <f aca="false">MAX(0.5,MIN(1.5,1+IF($B29="",0,SUMPRODUCT((SMIX2DT!$D$2:$D$200=$B29)*(SMIX2DT!$H$2:$H$200="P4")*SMIX2DT!$I$2:$I$200*0.01))))</f>
        <v>1</v>
      </c>
      <c r="L29" s="0" t="n">
        <f aca="false">IF($B29="",0,COUNTIFS(SMIX2DT!$D$2:$D$200,$B29,SMIX2DT!$H$2:$H$200,"P5"))</f>
        <v>0</v>
      </c>
      <c r="M29" s="0" t="n">
        <f aca="false">MAX(0.5,MIN(1.5,1+IF($B29="",0,SUMPRODUCT((SMIX2DT!$D$2:$D$200=$B29)*(SMIX2DT!$H$2:$H$200="P5")*SMIX2DT!$I$2:$I$200*0.01))))</f>
        <v>1</v>
      </c>
      <c r="N29" s="0" t="n">
        <f aca="false">IF($B29="",0,IFERROR(SUMPRODUCT((SMIX2DT!$D$2:$D$200=$B29)*SMIX2DT!$I$2:$I$200),0))</f>
        <v>0</v>
      </c>
      <c r="O29" s="0" t="n">
        <f aca="false">D29+F29+H29+J29+L29</f>
        <v>0</v>
      </c>
    </row>
    <row r="30" customFormat="false" ht="15.75" hidden="false" customHeight="false" outlineLevel="0" collapsed="false">
      <c r="D30" s="0" t="n">
        <f aca="false">IF($B30="",0,COUNTIFS(SMIX2DT!$D$2:$D$200,$B30,SMIX2DT!$H$2:$H$200,"P1"))</f>
        <v>0</v>
      </c>
      <c r="E30" s="0" t="n">
        <f aca="false">MAX(0.5,MIN(1.5,1+IF($B30="",0,SUMPRODUCT((SMIX2DT!$D$2:$D$200=$B30)*(SMIX2DT!$H$2:$H$200="P1")*SMIX2DT!$I$2:$I$200*0.01))))</f>
        <v>1</v>
      </c>
      <c r="F30" s="0" t="n">
        <f aca="false">IF($B30="",0,COUNTIFS(SMIX2DT!$D$2:$D$200,$B30,SMIX2DT!$H$2:$H$200,"P2"))</f>
        <v>0</v>
      </c>
      <c r="G30" s="0" t="n">
        <f aca="false">MAX(0.5,MIN(1.5,1+IF($B30="",0,SUMPRODUCT((SMIX2DT!$D$2:$D$200=$B30)*(SMIX2DT!$H$2:$H$200="P2")*SMIX2DT!$I$2:$I$200*0.01))))</f>
        <v>1</v>
      </c>
      <c r="H30" s="0" t="n">
        <f aca="false">IF($B30="",0,COUNTIFS(SMIX2DT!$D$2:$D$200,$B30,SMIX2DT!$H$2:$H$200,"P3"))</f>
        <v>0</v>
      </c>
      <c r="I30" s="0" t="n">
        <f aca="false">MAX(0.5,MIN(1.5,1+IF($B30="",0,SUMPRODUCT((SMIX2DT!$D$2:$D$200=$B30)*(SMIX2DT!$H$2:$H$200="P3")*SMIX2DT!$I$2:$I$200*0.01))))</f>
        <v>1</v>
      </c>
      <c r="J30" s="0" t="n">
        <f aca="false">IF($B30="",0,COUNTIFS(SMIX2DT!$D$2:$D$200,$B30,SMIX2DT!$H$2:$H$200,"P4"))</f>
        <v>0</v>
      </c>
      <c r="K30" s="0" t="n">
        <f aca="false">MAX(0.5,MIN(1.5,1+IF($B30="",0,SUMPRODUCT((SMIX2DT!$D$2:$D$200=$B30)*(SMIX2DT!$H$2:$H$200="P4")*SMIX2DT!$I$2:$I$200*0.01))))</f>
        <v>1</v>
      </c>
      <c r="L30" s="0" t="n">
        <f aca="false">IF($B30="",0,COUNTIFS(SMIX2DT!$D$2:$D$200,$B30,SMIX2DT!$H$2:$H$200,"P5"))</f>
        <v>0</v>
      </c>
      <c r="M30" s="0" t="n">
        <f aca="false">MAX(0.5,MIN(1.5,1+IF($B30="",0,SUMPRODUCT((SMIX2DT!$D$2:$D$200=$B30)*(SMIX2DT!$H$2:$H$200="P5")*SMIX2DT!$I$2:$I$200*0.01))))</f>
        <v>1</v>
      </c>
      <c r="N30" s="0" t="n">
        <f aca="false">IF($B30="",0,IFERROR(SUMPRODUCT((SMIX2DT!$D$2:$D$200=$B30)*SMIX2DT!$I$2:$I$200),0))</f>
        <v>0</v>
      </c>
      <c r="O30" s="0" t="n">
        <f aca="false">D30+F30+H30+J30+L30</f>
        <v>0</v>
      </c>
    </row>
    <row r="31" customFormat="false" ht="15.75" hidden="false" customHeight="false" outlineLevel="0" collapsed="false">
      <c r="A31" s="0" t="s">
        <v>103</v>
      </c>
      <c r="C31" s="0" t="s">
        <v>104</v>
      </c>
      <c r="D31" s="0" t="n">
        <f aca="false">IF($B31="",0,COUNTIFS(SMIX2DT!$D$2:$D$200,$B31,SMIX2DT!$H$2:$H$200,"P1"))</f>
        <v>0</v>
      </c>
      <c r="E31" s="0" t="n">
        <f aca="false">MAX(0.5,MIN(1.5,1+IF($B31="",0,SUMPRODUCT((SMIX2DT!$D$2:$D$200=$B31)*(SMIX2DT!$H$2:$H$200="P1")*SMIX2DT!$I$2:$I$200*0.01))))</f>
        <v>1</v>
      </c>
      <c r="F31" s="0" t="n">
        <f aca="false">IF($B31="",0,COUNTIFS(SMIX2DT!$D$2:$D$200,$B31,SMIX2DT!$H$2:$H$200,"P2"))</f>
        <v>0</v>
      </c>
      <c r="G31" s="0" t="n">
        <f aca="false">MAX(0.5,MIN(1.5,1+IF($B31="",0,SUMPRODUCT((SMIX2DT!$D$2:$D$200=$B31)*(SMIX2DT!$H$2:$H$200="P2")*SMIX2DT!$I$2:$I$200*0.01))))</f>
        <v>1</v>
      </c>
      <c r="H31" s="0" t="n">
        <f aca="false">IF($B31="",0,COUNTIFS(SMIX2DT!$D$2:$D$200,$B31,SMIX2DT!$H$2:$H$200,"P3"))</f>
        <v>0</v>
      </c>
      <c r="I31" s="0" t="n">
        <f aca="false">MAX(0.5,MIN(1.5,1+IF($B31="",0,SUMPRODUCT((SMIX2DT!$D$2:$D$200=$B31)*(SMIX2DT!$H$2:$H$200="P3")*SMIX2DT!$I$2:$I$200*0.01))))</f>
        <v>1</v>
      </c>
      <c r="J31" s="0" t="n">
        <f aca="false">IF($B31="",0,COUNTIFS(SMIX2DT!$D$2:$D$200,$B31,SMIX2DT!$H$2:$H$200,"P4"))</f>
        <v>0</v>
      </c>
      <c r="K31" s="0" t="n">
        <f aca="false">MAX(0.5,MIN(1.5,1+IF($B31="",0,SUMPRODUCT((SMIX2DT!$D$2:$D$200=$B31)*(SMIX2DT!$H$2:$H$200="P4")*SMIX2DT!$I$2:$I$200*0.01))))</f>
        <v>1</v>
      </c>
      <c r="L31" s="0" t="n">
        <f aca="false">IF($B31="",0,COUNTIFS(SMIX2DT!$D$2:$D$200,$B31,SMIX2DT!$H$2:$H$200,"P5"))</f>
        <v>0</v>
      </c>
      <c r="M31" s="0" t="n">
        <f aca="false">MAX(0.5,MIN(1.5,1+IF($B31="",0,SUMPRODUCT((SMIX2DT!$D$2:$D$200=$B31)*(SMIX2DT!$H$2:$H$200="P5")*SMIX2DT!$I$2:$I$200*0.01))))</f>
        <v>1</v>
      </c>
      <c r="N31" s="0" t="n">
        <f aca="false">IF($B31="",0,IFERROR(SUMPRODUCT((SMIX2DT!$D$2:$D$200=$B31)*SMIX2DT!$I$2:$I$200),0))</f>
        <v>0</v>
      </c>
      <c r="O31" s="0" t="n">
        <f aca="false">D31+F31+H31+J31+L31</f>
        <v>0</v>
      </c>
    </row>
    <row r="32" customFormat="false" ht="15.75" hidden="false" customHeight="false" outlineLevel="0" collapsed="false">
      <c r="A32" s="0" t="s">
        <v>105</v>
      </c>
      <c r="D32" s="0" t="n">
        <f aca="false">IF($B32="",0,COUNTIFS(SMIX2DT!$D$2:$D$200,$B32,SMIX2DT!$H$2:$H$200,"P1"))</f>
        <v>0</v>
      </c>
      <c r="E32" s="0" t="n">
        <f aca="false">MAX(0.5,MIN(1.5,1+IF($B32="",0,SUMPRODUCT((SMIX2DT!$D$2:$D$200=$B32)*(SMIX2DT!$H$2:$H$200="P1")*SMIX2DT!$I$2:$I$200*0.01))))</f>
        <v>1</v>
      </c>
      <c r="F32" s="0" t="n">
        <f aca="false">IF($B32="",0,COUNTIFS(SMIX2DT!$D$2:$D$200,$B32,SMIX2DT!$H$2:$H$200,"P2"))</f>
        <v>0</v>
      </c>
      <c r="G32" s="0" t="n">
        <f aca="false">MAX(0.5,MIN(1.5,1+IF($B32="",0,SUMPRODUCT((SMIX2DT!$D$2:$D$200=$B32)*(SMIX2DT!$H$2:$H$200="P2")*SMIX2DT!$I$2:$I$200*0.01))))</f>
        <v>1</v>
      </c>
      <c r="H32" s="0" t="n">
        <f aca="false">IF($B32="",0,COUNTIFS(SMIX2DT!$D$2:$D$200,$B32,SMIX2DT!$H$2:$H$200,"P3"))</f>
        <v>0</v>
      </c>
      <c r="I32" s="0" t="n">
        <f aca="false">MAX(0.5,MIN(1.5,1+IF($B32="",0,SUMPRODUCT((SMIX2DT!$D$2:$D$200=$B32)*(SMIX2DT!$H$2:$H$200="P3")*SMIX2DT!$I$2:$I$200*0.01))))</f>
        <v>1</v>
      </c>
      <c r="J32" s="0" t="n">
        <f aca="false">IF($B32="",0,COUNTIFS(SMIX2DT!$D$2:$D$200,$B32,SMIX2DT!$H$2:$H$200,"P4"))</f>
        <v>0</v>
      </c>
      <c r="K32" s="0" t="n">
        <f aca="false">MAX(0.5,MIN(1.5,1+IF($B32="",0,SUMPRODUCT((SMIX2DT!$D$2:$D$200=$B32)*(SMIX2DT!$H$2:$H$200="P4")*SMIX2DT!$I$2:$I$200*0.01))))</f>
        <v>1</v>
      </c>
      <c r="L32" s="0" t="n">
        <f aca="false">IF($B32="",0,COUNTIFS(SMIX2DT!$D$2:$D$200,$B32,SMIX2DT!$H$2:$H$200,"P5"))</f>
        <v>0</v>
      </c>
      <c r="M32" s="0" t="n">
        <f aca="false">MAX(0.5,MIN(1.5,1+IF($B32="",0,SUMPRODUCT((SMIX2DT!$D$2:$D$200=$B32)*(SMIX2DT!$H$2:$H$200="P5")*SMIX2DT!$I$2:$I$200*0.01))))</f>
        <v>1</v>
      </c>
      <c r="N32" s="0" t="n">
        <f aca="false">IF($B32="",0,IFERROR(SUMPRODUCT((SMIX2DT!$D$2:$D$200=$B32)*SMIX2DT!$I$2:$I$200),0))</f>
        <v>0</v>
      </c>
      <c r="O32" s="0" t="n">
        <f aca="false">D32+F32+H32+J32+L32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0" t="s">
        <v>252</v>
      </c>
      <c r="B1" s="0" t="s">
        <v>253</v>
      </c>
      <c r="C1" s="0" t="s">
        <v>254</v>
      </c>
      <c r="D1" s="0" t="s">
        <v>255</v>
      </c>
    </row>
    <row r="2" customFormat="false" ht="15.75" hidden="false" customHeight="false" outlineLevel="0" collapsed="false">
      <c r="A2" s="0" t="s">
        <v>256</v>
      </c>
      <c r="B2" s="0" t="n">
        <v>46279</v>
      </c>
      <c r="C2" s="0" t="n">
        <v>46325</v>
      </c>
      <c r="D2" s="0" t="n">
        <f aca="false">WEEKNUM(C2,1)-WEEKNUM(B2,1)+1</f>
        <v>7</v>
      </c>
    </row>
    <row r="3" customFormat="false" ht="15.75" hidden="false" customHeight="false" outlineLevel="0" collapsed="false">
      <c r="A3" s="0" t="s">
        <v>257</v>
      </c>
      <c r="B3" s="0" t="n">
        <v>46328</v>
      </c>
      <c r="C3" s="0" t="n">
        <v>46374</v>
      </c>
      <c r="D3" s="0" t="n">
        <f aca="false">WEEKNUM(C3,1)-WEEKNUM(B3,1)+1</f>
        <v>7</v>
      </c>
    </row>
    <row r="4" customFormat="false" ht="15.75" hidden="false" customHeight="false" outlineLevel="0" collapsed="false">
      <c r="A4" s="0" t="s">
        <v>258</v>
      </c>
      <c r="B4" s="0" t="n">
        <v>46398</v>
      </c>
      <c r="C4" s="0" t="n">
        <v>46437</v>
      </c>
      <c r="D4" s="0" t="n">
        <f aca="false">WEEKNUM(C4,1)-WEEKNUM(B4,1)+1</f>
        <v>6</v>
      </c>
    </row>
    <row r="5" customFormat="false" ht="15.75" hidden="false" customHeight="false" outlineLevel="0" collapsed="false">
      <c r="A5" s="0" t="s">
        <v>259</v>
      </c>
      <c r="B5" s="0" t="n">
        <v>46440</v>
      </c>
      <c r="C5" s="0" t="n">
        <v>46479</v>
      </c>
      <c r="D5" s="0" t="n">
        <f aca="false">WEEKNUM(C5,1)-WEEKNUM(B5,1)+1</f>
        <v>6</v>
      </c>
    </row>
    <row r="6" customFormat="false" ht="15.75" hidden="false" customHeight="false" outlineLevel="0" collapsed="false">
      <c r="A6" s="0" t="s">
        <v>260</v>
      </c>
      <c r="B6" s="0" t="n">
        <v>46489</v>
      </c>
      <c r="C6" s="0" t="n">
        <v>46535</v>
      </c>
      <c r="D6" s="0" t="n">
        <f aca="false">WEEKNUM(C6,1)-WEEKNUM(B6,1)+1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1" style="0" width="18.38"/>
    <col collapsed="false" customWidth="true" hidden="false" outlineLevel="0" max="11" min="7" style="0" width="18.38"/>
  </cols>
  <sheetData>
    <row r="1" customFormat="false" ht="26.85" hidden="false" customHeight="false" outlineLevel="0" collapsed="false">
      <c r="A1" s="0" t="s">
        <v>261</v>
      </c>
      <c r="B1" s="0" t="s">
        <v>262</v>
      </c>
      <c r="C1" s="0" t="s">
        <v>263</v>
      </c>
      <c r="D1" s="0" t="s">
        <v>264</v>
      </c>
      <c r="E1" s="0" t="s">
        <v>265</v>
      </c>
      <c r="G1" s="3" t="s">
        <v>266</v>
      </c>
      <c r="H1" s="0" t="s">
        <v>267</v>
      </c>
      <c r="I1" s="0" t="s">
        <v>268</v>
      </c>
      <c r="J1" s="0" t="s">
        <v>269</v>
      </c>
      <c r="K1" s="0" t="s">
        <v>270</v>
      </c>
    </row>
    <row r="2" customFormat="false" ht="15.75" hidden="false" customHeight="false" outlineLevel="0" collapsed="false">
      <c r="B2" s="0" t="n">
        <v>0</v>
      </c>
      <c r="C2" s="0" t="n">
        <v>1</v>
      </c>
      <c r="D2" s="0" t="n">
        <v>2</v>
      </c>
      <c r="E2" s="0" t="n">
        <v>3</v>
      </c>
      <c r="H2" s="0" t="n">
        <v>0</v>
      </c>
      <c r="I2" s="0" t="s">
        <v>271</v>
      </c>
      <c r="J2" s="0" t="s">
        <v>272</v>
      </c>
      <c r="K2" s="0" t="n">
        <v>2</v>
      </c>
    </row>
    <row r="3" customFormat="false" ht="15.75" hidden="false" customHeight="false" outlineLevel="0" collapsed="false">
      <c r="A3" s="0" t="s">
        <v>273</v>
      </c>
      <c r="B3" s="0" t="s">
        <v>274</v>
      </c>
      <c r="C3" s="0" t="s">
        <v>275</v>
      </c>
      <c r="D3" s="0" t="s">
        <v>276</v>
      </c>
      <c r="E3" s="0" t="s">
        <v>277</v>
      </c>
      <c r="G3" s="0" t="s">
        <v>278</v>
      </c>
      <c r="H3" s="0" t="s">
        <v>279</v>
      </c>
      <c r="I3" s="0" t="s">
        <v>280</v>
      </c>
      <c r="J3" s="0" t="s">
        <v>281</v>
      </c>
      <c r="K3" s="0" t="s">
        <v>282</v>
      </c>
    </row>
    <row r="4" customFormat="false" ht="15.75" hidden="false" customHeight="false" outlineLevel="0" collapsed="false">
      <c r="B4" s="0" t="n">
        <v>0</v>
      </c>
      <c r="C4" s="0" t="n">
        <v>0.5</v>
      </c>
      <c r="D4" s="0" t="n">
        <v>1</v>
      </c>
      <c r="E4" s="0" t="n">
        <v>1.5</v>
      </c>
      <c r="H4" s="0" t="n">
        <v>0</v>
      </c>
      <c r="I4" s="0" t="s">
        <v>283</v>
      </c>
      <c r="J4" s="0" t="n">
        <v>1</v>
      </c>
      <c r="K4" s="0" t="n">
        <v>46143</v>
      </c>
    </row>
    <row r="5" customFormat="false" ht="26.85" hidden="false" customHeight="false" outlineLevel="0" collapsed="false">
      <c r="A5" s="0" t="s">
        <v>284</v>
      </c>
      <c r="B5" s="0" t="s">
        <v>285</v>
      </c>
      <c r="C5" s="0" t="s">
        <v>286</v>
      </c>
      <c r="D5" s="0" t="s">
        <v>287</v>
      </c>
      <c r="E5" s="0" t="s">
        <v>288</v>
      </c>
      <c r="G5" s="3" t="s">
        <v>289</v>
      </c>
      <c r="H5" s="0" t="s">
        <v>290</v>
      </c>
      <c r="I5" s="0" t="s">
        <v>291</v>
      </c>
      <c r="J5" s="0" t="s">
        <v>292</v>
      </c>
      <c r="K5" s="0" t="s">
        <v>293</v>
      </c>
    </row>
    <row r="6" customFormat="false" ht="15.75" hidden="false" customHeight="false" outlineLevel="0" collapsed="false">
      <c r="B6" s="0" t="n">
        <v>0</v>
      </c>
      <c r="C6" s="0" t="n">
        <v>0.5</v>
      </c>
      <c r="D6" s="0" t="n">
        <v>1</v>
      </c>
      <c r="E6" s="0" t="n">
        <v>1.5</v>
      </c>
      <c r="H6" s="0" t="n">
        <v>0</v>
      </c>
      <c r="I6" s="0" t="s">
        <v>283</v>
      </c>
      <c r="J6" s="0" t="n">
        <v>1</v>
      </c>
      <c r="K6" s="0" t="n">
        <v>46143</v>
      </c>
    </row>
    <row r="7" customFormat="false" ht="26.85" hidden="false" customHeight="false" outlineLevel="0" collapsed="false">
      <c r="A7" s="0" t="s">
        <v>294</v>
      </c>
      <c r="B7" s="0" t="s">
        <v>295</v>
      </c>
      <c r="C7" s="0" t="s">
        <v>296</v>
      </c>
      <c r="D7" s="0" t="s">
        <v>297</v>
      </c>
      <c r="E7" s="0" t="s">
        <v>298</v>
      </c>
      <c r="G7" s="3" t="s">
        <v>299</v>
      </c>
      <c r="H7" s="0" t="s">
        <v>300</v>
      </c>
      <c r="I7" s="0" t="s">
        <v>301</v>
      </c>
      <c r="J7" s="0" t="s">
        <v>302</v>
      </c>
      <c r="K7" s="0" t="s">
        <v>303</v>
      </c>
    </row>
    <row r="8" customFormat="false" ht="15.75" hidden="false" customHeight="false" outlineLevel="0" collapsed="false">
      <c r="B8" s="0" t="n">
        <v>0</v>
      </c>
      <c r="C8" s="0" t="n">
        <v>0.33</v>
      </c>
      <c r="D8" s="0" t="n">
        <v>0.67</v>
      </c>
      <c r="E8" s="0" t="n">
        <v>1</v>
      </c>
      <c r="H8" s="0" t="n">
        <v>0</v>
      </c>
      <c r="I8" s="0" t="s">
        <v>283</v>
      </c>
      <c r="J8" s="0" t="n">
        <v>1</v>
      </c>
      <c r="K8" s="0" t="n">
        <v>46143</v>
      </c>
    </row>
    <row r="9" customFormat="false" ht="15.75" hidden="false" customHeight="false" outlineLevel="0" collapsed="false">
      <c r="A9" s="0" t="s">
        <v>304</v>
      </c>
      <c r="B9" s="0" t="s">
        <v>305</v>
      </c>
      <c r="C9" s="0" t="s">
        <v>306</v>
      </c>
      <c r="D9" s="0" t="s">
        <v>307</v>
      </c>
      <c r="E9" s="0" t="s">
        <v>308</v>
      </c>
      <c r="G9" s="0" t="s">
        <v>309</v>
      </c>
      <c r="H9" s="0" t="s">
        <v>300</v>
      </c>
      <c r="I9" s="0" t="s">
        <v>310</v>
      </c>
      <c r="J9" s="0" t="s">
        <v>311</v>
      </c>
      <c r="K9" s="0" t="s">
        <v>312</v>
      </c>
    </row>
    <row r="10" customFormat="false" ht="15.75" hidden="false" customHeight="false" outlineLevel="0" collapsed="false">
      <c r="B10" s="0" t="n">
        <v>0</v>
      </c>
      <c r="C10" s="0" t="n">
        <v>1</v>
      </c>
      <c r="D10" s="0" t="n">
        <v>2</v>
      </c>
      <c r="E10" s="0" t="n">
        <v>3</v>
      </c>
      <c r="H10" s="0" t="n">
        <v>0</v>
      </c>
      <c r="I10" s="0" t="s">
        <v>283</v>
      </c>
      <c r="J10" s="0" t="n">
        <v>1</v>
      </c>
      <c r="K10" s="0" t="n">
        <v>46143</v>
      </c>
    </row>
    <row r="11" customFormat="false" ht="15.75" hidden="false" customHeight="false" outlineLevel="0" collapsed="false">
      <c r="G11" s="0" t="s">
        <v>313</v>
      </c>
      <c r="H11" s="0" t="s">
        <v>314</v>
      </c>
      <c r="I11" s="0" t="s">
        <v>315</v>
      </c>
      <c r="J11" s="0" t="s">
        <v>264</v>
      </c>
      <c r="K11" s="0" t="s">
        <v>265</v>
      </c>
    </row>
    <row r="12" customFormat="false" ht="15.75" hidden="false" customHeight="false" outlineLevel="0" collapsed="false">
      <c r="H12" s="0" t="n">
        <v>0</v>
      </c>
      <c r="I12" s="0" t="s">
        <v>271</v>
      </c>
      <c r="J12" s="0" t="s">
        <v>272</v>
      </c>
      <c r="K1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2026-06-27T18:50:11Z</dcterms:created>
  <dc:creator>openpyxl</dc:creator>
  <dc:description/>
  <dc:language>en-US</dc:language>
  <cp:lastModifiedBy/>
  <dcterms:modified xsi:type="dcterms:W3CDTF">2026-06-27T18:55:19Z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